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\masuda-vinyl-ops\app\public\"/>
    </mc:Choice>
  </mc:AlternateContent>
  <xr:revisionPtr revIDLastSave="0" documentId="13_ncr:1_{2BA06A1B-C484-4256-9182-E5D16281D513}" xr6:coauthVersionLast="47" xr6:coauthVersionMax="47" xr10:uidLastSave="{00000000-0000-0000-0000-000000000000}"/>
  <bookViews>
    <workbookView xWindow="11148" yWindow="-25920" windowWidth="23232" windowHeight="25296" tabRatio="522" xr2:uid="{00000000-000D-0000-FFFF-FFFF00000000}"/>
  </bookViews>
  <sheets>
    <sheet name="INVOICE" sheetId="1" r:id="rId1"/>
    <sheet name="PACKING LIST" sheetId="2" r:id="rId2"/>
    <sheet name="データ" sheetId="3" state="hidden" r:id="rId3"/>
  </sheets>
  <externalReferences>
    <externalReference r:id="rId4"/>
  </externalReferences>
  <definedNames>
    <definedName name="_xlnm.Print_Area" localSheetId="0">INVOICE!$A$1:$K$55</definedName>
    <definedName name="_xlnm.Print_Area" localSheetId="1">'PACKING LIST'!$A$1:$M$63</definedName>
    <definedName name="_xlnm.Print_Area" localSheetId="2">データ!$A$1:$N$53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2" l="1"/>
  <c r="L13" i="2"/>
  <c r="J36" i="2"/>
  <c r="J37" i="2"/>
  <c r="J38" i="2"/>
  <c r="J39" i="2"/>
  <c r="M39" i="2" s="1"/>
  <c r="J40" i="2"/>
  <c r="J41" i="2"/>
  <c r="M41" i="2" s="1"/>
  <c r="J42" i="2"/>
  <c r="J43" i="2"/>
  <c r="J44" i="2"/>
  <c r="J45" i="2"/>
  <c r="J46" i="2"/>
  <c r="M46" i="2" s="1"/>
  <c r="J47" i="2"/>
  <c r="J48" i="2"/>
  <c r="J49" i="2"/>
  <c r="J50" i="2"/>
  <c r="J51" i="2"/>
  <c r="J35" i="2"/>
  <c r="L36" i="2"/>
  <c r="M36" i="2"/>
  <c r="L37" i="2"/>
  <c r="M37" i="2"/>
  <c r="L38" i="2"/>
  <c r="M38" i="2"/>
  <c r="L39" i="2"/>
  <c r="L40" i="2"/>
  <c r="M40" i="2"/>
  <c r="L41" i="2"/>
  <c r="L42" i="2"/>
  <c r="M42" i="2"/>
  <c r="L43" i="2"/>
  <c r="M43" i="2"/>
  <c r="L44" i="2"/>
  <c r="M44" i="2"/>
  <c r="L45" i="2"/>
  <c r="M45" i="2"/>
  <c r="L46" i="2"/>
  <c r="L47" i="2"/>
  <c r="M47" i="2"/>
  <c r="L48" i="2"/>
  <c r="M48" i="2"/>
  <c r="L49" i="2"/>
  <c r="M49" i="2"/>
  <c r="L50" i="2"/>
  <c r="M50" i="2"/>
  <c r="L51" i="2"/>
  <c r="M51" i="2"/>
  <c r="L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5" i="2"/>
  <c r="K53" i="3"/>
  <c r="K52" i="3"/>
  <c r="K51" i="3"/>
  <c r="K50" i="3"/>
  <c r="K49" i="3"/>
  <c r="J48" i="3"/>
  <c r="I48" i="3"/>
  <c r="H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H30" i="3" s="1"/>
  <c r="G29" i="3"/>
  <c r="G28" i="3"/>
  <c r="G27" i="3"/>
  <c r="G26" i="3"/>
  <c r="A26" i="3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A13" i="3"/>
  <c r="A17" i="3" s="1"/>
  <c r="A19" i="3" s="1"/>
  <c r="G12" i="3"/>
  <c r="G11" i="3"/>
  <c r="G10" i="3"/>
  <c r="G9" i="3"/>
  <c r="G8" i="3"/>
  <c r="G7" i="3"/>
  <c r="G6" i="3"/>
  <c r="A6" i="3"/>
  <c r="A7" i="3" s="1"/>
  <c r="A8" i="3" s="1"/>
  <c r="A9" i="3" s="1"/>
  <c r="A10" i="3" s="1"/>
  <c r="G5" i="3"/>
  <c r="G4" i="3"/>
  <c r="G3" i="3"/>
  <c r="A23" i="2"/>
  <c r="A20" i="2"/>
  <c r="A29" i="2"/>
  <c r="D58" i="2"/>
  <c r="M35" i="2" l="1"/>
  <c r="J28" i="3"/>
  <c r="I28" i="3"/>
  <c r="H28" i="3"/>
  <c r="I18" i="3"/>
  <c r="H18" i="3"/>
  <c r="K18" i="3" s="1"/>
  <c r="L48" i="3"/>
  <c r="K48" i="3"/>
  <c r="J47" i="3"/>
  <c r="I47" i="3"/>
  <c r="H47" i="3"/>
  <c r="H46" i="3"/>
  <c r="J46" i="3"/>
  <c r="I46" i="3"/>
  <c r="H45" i="3"/>
  <c r="I45" i="3"/>
  <c r="J45" i="3"/>
  <c r="I44" i="3"/>
  <c r="H44" i="3"/>
  <c r="J44" i="3"/>
  <c r="J43" i="3"/>
  <c r="I43" i="3"/>
  <c r="H43" i="3"/>
  <c r="J42" i="3"/>
  <c r="I42" i="3"/>
  <c r="H42" i="3"/>
  <c r="H41" i="3"/>
  <c r="J41" i="3"/>
  <c r="I41" i="3"/>
  <c r="J40" i="3"/>
  <c r="H40" i="3"/>
  <c r="I40" i="3"/>
  <c r="J39" i="3"/>
  <c r="H39" i="3"/>
  <c r="I39" i="3"/>
  <c r="H38" i="3"/>
  <c r="J38" i="3"/>
  <c r="I38" i="3"/>
  <c r="I37" i="3"/>
  <c r="J37" i="3"/>
  <c r="H37" i="3"/>
  <c r="J36" i="3"/>
  <c r="I36" i="3"/>
  <c r="H36" i="3"/>
  <c r="H35" i="3"/>
  <c r="I35" i="3"/>
  <c r="J35" i="3"/>
  <c r="H34" i="3"/>
  <c r="J34" i="3"/>
  <c r="I34" i="3"/>
  <c r="J33" i="3"/>
  <c r="H33" i="3"/>
  <c r="I33" i="3"/>
  <c r="J32" i="3"/>
  <c r="I32" i="3"/>
  <c r="H32" i="3"/>
  <c r="H31" i="3"/>
  <c r="I31" i="3"/>
  <c r="J31" i="3"/>
  <c r="K30" i="3"/>
  <c r="L30" i="3"/>
  <c r="I30" i="3"/>
  <c r="J30" i="3"/>
  <c r="J29" i="3"/>
  <c r="I29" i="3"/>
  <c r="H29" i="3"/>
  <c r="H27" i="3"/>
  <c r="I27" i="3"/>
  <c r="J27" i="3"/>
  <c r="J26" i="3"/>
  <c r="H26" i="3"/>
  <c r="I26" i="3"/>
  <c r="H25" i="3"/>
  <c r="K25" i="3" s="1"/>
  <c r="I25" i="3"/>
  <c r="H24" i="3"/>
  <c r="K24" i="3" s="1"/>
  <c r="I24" i="3"/>
  <c r="H23" i="3"/>
  <c r="K23" i="3" s="1"/>
  <c r="I23" i="3"/>
  <c r="I22" i="3"/>
  <c r="H22" i="3"/>
  <c r="K22" i="3" s="1"/>
  <c r="L22" i="3" s="1"/>
  <c r="I21" i="3"/>
  <c r="H21" i="3"/>
  <c r="K21" i="3" s="1"/>
  <c r="I20" i="3"/>
  <c r="H20" i="3"/>
  <c r="K20" i="3" s="1"/>
  <c r="L20" i="3" s="1"/>
  <c r="H19" i="3"/>
  <c r="K19" i="3" s="1"/>
  <c r="I19" i="3"/>
  <c r="H17" i="3"/>
  <c r="K17" i="3" s="1"/>
  <c r="I17" i="3"/>
  <c r="H16" i="3"/>
  <c r="K16" i="3" s="1"/>
  <c r="I16" i="3"/>
  <c r="H15" i="3"/>
  <c r="K15" i="3" s="1"/>
  <c r="I15" i="3"/>
  <c r="I14" i="3"/>
  <c r="H14" i="3"/>
  <c r="K14" i="3" s="1"/>
  <c r="L14" i="3" s="1"/>
  <c r="H13" i="3"/>
  <c r="K13" i="3" s="1"/>
  <c r="I13" i="3"/>
  <c r="H12" i="3"/>
  <c r="K12" i="3" s="1"/>
  <c r="I12" i="3"/>
  <c r="I11" i="3"/>
  <c r="H11" i="3"/>
  <c r="K11" i="3" s="1"/>
  <c r="L11" i="3" s="1"/>
  <c r="H10" i="3"/>
  <c r="K10" i="3" s="1"/>
  <c r="I10" i="3"/>
  <c r="H9" i="3"/>
  <c r="K9" i="3" s="1"/>
  <c r="L9" i="3" s="1"/>
  <c r="I9" i="3"/>
  <c r="H8" i="3"/>
  <c r="K8" i="3" s="1"/>
  <c r="L8" i="3" s="1"/>
  <c r="I8" i="3"/>
  <c r="I7" i="3"/>
  <c r="H7" i="3"/>
  <c r="K7" i="3" s="1"/>
  <c r="L7" i="3" s="1"/>
  <c r="H6" i="3"/>
  <c r="K6" i="3" s="1"/>
  <c r="I6" i="3"/>
  <c r="I5" i="3"/>
  <c r="H5" i="3"/>
  <c r="K5" i="3" s="1"/>
  <c r="L5" i="3" s="1"/>
  <c r="H4" i="3"/>
  <c r="K4" i="3" s="1"/>
  <c r="I4" i="3"/>
  <c r="I3" i="3"/>
  <c r="H3" i="3"/>
  <c r="K3" i="3" s="1"/>
  <c r="L3" i="3" s="1"/>
  <c r="G50" i="2"/>
  <c r="G51" i="2"/>
  <c r="G44" i="2"/>
  <c r="G45" i="2"/>
  <c r="G46" i="2"/>
  <c r="G47" i="2"/>
  <c r="G48" i="2"/>
  <c r="G49" i="2"/>
  <c r="G36" i="2"/>
  <c r="G37" i="2"/>
  <c r="G38" i="2"/>
  <c r="G39" i="2"/>
  <c r="G40" i="2"/>
  <c r="G41" i="2"/>
  <c r="G42" i="2"/>
  <c r="G43" i="2"/>
  <c r="E51" i="2"/>
  <c r="E47" i="2"/>
  <c r="E48" i="2"/>
  <c r="E49" i="2"/>
  <c r="E50" i="2"/>
  <c r="E43" i="2"/>
  <c r="E44" i="2"/>
  <c r="E45" i="2"/>
  <c r="E46" i="2"/>
  <c r="E36" i="2"/>
  <c r="E37" i="2"/>
  <c r="E38" i="2"/>
  <c r="E39" i="2"/>
  <c r="E40" i="2"/>
  <c r="E41" i="2"/>
  <c r="E42" i="2"/>
  <c r="B48" i="2"/>
  <c r="B49" i="2"/>
  <c r="B50" i="2"/>
  <c r="B51" i="2"/>
  <c r="B45" i="2"/>
  <c r="B46" i="2"/>
  <c r="B47" i="2"/>
  <c r="B44" i="2"/>
  <c r="B36" i="2"/>
  <c r="B37" i="2"/>
  <c r="B38" i="2"/>
  <c r="B39" i="2"/>
  <c r="B40" i="2"/>
  <c r="B41" i="2"/>
  <c r="B42" i="2"/>
  <c r="B43" i="2"/>
  <c r="H47" i="1"/>
  <c r="J47" i="1" s="1"/>
  <c r="F47" i="1"/>
  <c r="F49" i="2" s="1"/>
  <c r="F48" i="1"/>
  <c r="F50" i="2" s="1"/>
  <c r="D47" i="1"/>
  <c r="D49" i="2" s="1"/>
  <c r="D48" i="1"/>
  <c r="D50" i="2" s="1"/>
  <c r="D49" i="1"/>
  <c r="D51" i="2" s="1"/>
  <c r="M30" i="3" l="1"/>
  <c r="L15" i="3"/>
  <c r="L13" i="3"/>
  <c r="L18" i="3"/>
  <c r="L25" i="3"/>
  <c r="L24" i="3"/>
  <c r="L23" i="3"/>
  <c r="L10" i="3"/>
  <c r="L6" i="3"/>
  <c r="L21" i="3"/>
  <c r="L16" i="3"/>
  <c r="L12" i="3"/>
  <c r="L4" i="3"/>
  <c r="K28" i="3"/>
  <c r="L28" i="3"/>
  <c r="K47" i="3"/>
  <c r="L47" i="3"/>
  <c r="M47" i="3" s="1"/>
  <c r="K46" i="3"/>
  <c r="L46" i="3"/>
  <c r="M46" i="3" s="1"/>
  <c r="K45" i="3"/>
  <c r="L45" i="3"/>
  <c r="M45" i="3" s="1"/>
  <c r="K44" i="3"/>
  <c r="L44" i="3"/>
  <c r="M44" i="3" s="1"/>
  <c r="K43" i="3"/>
  <c r="L43" i="3"/>
  <c r="K42" i="3"/>
  <c r="L42" i="3"/>
  <c r="K41" i="3"/>
  <c r="L41" i="3"/>
  <c r="M41" i="3" s="1"/>
  <c r="K40" i="3"/>
  <c r="L40" i="3"/>
  <c r="M40" i="3" s="1"/>
  <c r="K39" i="3"/>
  <c r="L39" i="3"/>
  <c r="M39" i="3" s="1"/>
  <c r="K38" i="3"/>
  <c r="L38" i="3"/>
  <c r="K37" i="3"/>
  <c r="L37" i="3"/>
  <c r="K36" i="3"/>
  <c r="L36" i="3"/>
  <c r="M36" i="3" s="1"/>
  <c r="K35" i="3"/>
  <c r="L35" i="3"/>
  <c r="K34" i="3"/>
  <c r="L34" i="3"/>
  <c r="M34" i="3" s="1"/>
  <c r="K33" i="3"/>
  <c r="L33" i="3"/>
  <c r="K32" i="3"/>
  <c r="L32" i="3"/>
  <c r="M32" i="3" s="1"/>
  <c r="K31" i="3"/>
  <c r="L31" i="3"/>
  <c r="M31" i="3" s="1"/>
  <c r="K29" i="3"/>
  <c r="L29" i="3"/>
  <c r="K27" i="3"/>
  <c r="L27" i="3"/>
  <c r="M27" i="3" s="1"/>
  <c r="K26" i="3"/>
  <c r="L26" i="3"/>
  <c r="M26" i="3" s="1"/>
  <c r="L19" i="3"/>
  <c r="L17" i="3"/>
  <c r="M48" i="3"/>
  <c r="M43" i="3" l="1"/>
  <c r="M38" i="3"/>
  <c r="M35" i="3"/>
  <c r="M33" i="3"/>
  <c r="M42" i="3"/>
  <c r="M28" i="3"/>
  <c r="M29" i="3"/>
  <c r="M37" i="3"/>
  <c r="H48" i="1"/>
  <c r="J48" i="1" s="1"/>
  <c r="H49" i="1"/>
  <c r="J49" i="1" s="1"/>
  <c r="H45" i="1"/>
  <c r="J45" i="1" s="1"/>
  <c r="H46" i="1"/>
  <c r="J46" i="1" s="1"/>
  <c r="H43" i="1"/>
  <c r="J43" i="1" s="1"/>
  <c r="H44" i="1"/>
  <c r="J44" i="1" s="1"/>
  <c r="H42" i="1"/>
  <c r="J42" i="1" s="1"/>
  <c r="H41" i="1"/>
  <c r="J41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F41" i="1"/>
  <c r="F43" i="2" s="1"/>
  <c r="F42" i="1"/>
  <c r="F44" i="2" s="1"/>
  <c r="F43" i="1"/>
  <c r="F45" i="2" s="1"/>
  <c r="F44" i="1"/>
  <c r="F46" i="2" s="1"/>
  <c r="F45" i="1"/>
  <c r="F47" i="2" s="1"/>
  <c r="F46" i="1"/>
  <c r="F48" i="2" s="1"/>
  <c r="F49" i="1"/>
  <c r="F51" i="2" s="1"/>
  <c r="F34" i="1"/>
  <c r="F36" i="2" s="1"/>
  <c r="F35" i="1"/>
  <c r="F37" i="2" s="1"/>
  <c r="F36" i="1"/>
  <c r="F38" i="2" s="1"/>
  <c r="F37" i="1"/>
  <c r="F39" i="2" s="1"/>
  <c r="F38" i="1"/>
  <c r="F40" i="2" s="1"/>
  <c r="F39" i="1"/>
  <c r="F41" i="2" s="1"/>
  <c r="D44" i="1"/>
  <c r="D46" i="2" s="1"/>
  <c r="D45" i="1"/>
  <c r="D47" i="2" s="1"/>
  <c r="D46" i="1"/>
  <c r="D48" i="2" s="1"/>
  <c r="D41" i="1"/>
  <c r="D43" i="2" s="1"/>
  <c r="D42" i="1"/>
  <c r="D44" i="2" s="1"/>
  <c r="D43" i="1"/>
  <c r="D45" i="2" s="1"/>
  <c r="D34" i="1"/>
  <c r="D36" i="2" s="1"/>
  <c r="D35" i="1"/>
  <c r="D37" i="2" s="1"/>
  <c r="D36" i="1"/>
  <c r="D38" i="2" s="1"/>
  <c r="D37" i="1"/>
  <c r="D39" i="2" s="1"/>
  <c r="D38" i="1"/>
  <c r="D40" i="2" s="1"/>
  <c r="D39" i="1"/>
  <c r="D41" i="2" s="1"/>
  <c r="D40" i="1"/>
  <c r="D42" i="2" s="1"/>
  <c r="D33" i="1"/>
  <c r="D35" i="2" s="1"/>
  <c r="K53" i="2" l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E35" i="2"/>
  <c r="F40" i="1" l="1"/>
  <c r="F42" i="2" s="1"/>
  <c r="H33" i="1"/>
  <c r="G35" i="2" l="1"/>
  <c r="G53" i="2" s="1"/>
  <c r="B35" i="2"/>
  <c r="J53" i="2" s="1"/>
  <c r="J33" i="1"/>
  <c r="J51" i="1" s="1"/>
  <c r="F33" i="1"/>
  <c r="F35" i="2" s="1"/>
  <c r="D56" i="2" l="1"/>
  <c r="L53" i="2" l="1"/>
  <c r="M53" i="2"/>
  <c r="D57" i="2" l="1"/>
  <c r="I5" i="2" l="1"/>
  <c r="A36" i="2" l="1"/>
  <c r="A37" i="2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I8" i="2" l="1"/>
  <c r="A55" i="2" l="1"/>
  <c r="I15" i="2" l="1"/>
  <c r="A21" i="2" l="1"/>
  <c r="D31" i="2" l="1"/>
  <c r="A31" i="2" l="1"/>
</calcChain>
</file>

<file path=xl/sharedStrings.xml><?xml version="1.0" encoding="utf-8"?>
<sst xmlns="http://schemas.openxmlformats.org/spreadsheetml/2006/main" count="270" uniqueCount="159">
  <si>
    <t>INVOICE</t>
    <phoneticPr fontId="1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</si>
  <si>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1"/>
  </si>
  <si>
    <t>MASUDA VINYL VIETNAM CO.,LTD</t>
    <phoneticPr fontId="3"/>
  </si>
  <si>
    <t>LOT NO1 DONG VANG DINH TRAM INDUSTRIAL ZONE</t>
    <phoneticPr fontId="3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</si>
  <si>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7"/>
  </si>
  <si>
    <r>
      <t>(</t>
    </r>
    <r>
      <rPr>
        <b/>
        <sz val="9"/>
        <rFont val="ＭＳ Ｐ明朝"/>
        <family val="1"/>
        <charset val="128"/>
      </rPr>
      <t>仕向先国名</t>
    </r>
    <r>
      <rPr>
        <b/>
        <sz val="9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7"/>
  </si>
  <si>
    <t>TEL : 0204 3662 777</t>
    <phoneticPr fontId="3"/>
  </si>
  <si>
    <t>VIETNAM</t>
    <phoneticPr fontId="1"/>
  </si>
  <si>
    <t>INDONESIA</t>
    <phoneticPr fontId="1"/>
  </si>
  <si>
    <t>FAX : 0204 3662 825</t>
    <phoneticPr fontId="3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</si>
  <si>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7"/>
  </si>
  <si>
    <t>Invoice will be closed on delivery day and payment after 60days</t>
    <phoneticPr fontId="1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</si>
  <si>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1"/>
  </si>
  <si>
    <t>PT. Sumitronics Indonesia</t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</si>
  <si>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1"/>
  </si>
  <si>
    <r>
      <t>From (</t>
    </r>
    <r>
      <rPr>
        <sz val="11"/>
        <rFont val="ＭＳ Ｐ明朝"/>
        <family val="1"/>
        <charset val="128"/>
      </rPr>
      <t>発地国</t>
    </r>
    <r>
      <rPr>
        <sz val="11"/>
        <rFont val="Times New Roman"/>
        <family val="1"/>
      </rPr>
      <t>)</t>
    </r>
    <rPh sb="6" eb="7">
      <t>ハツ</t>
    </rPh>
    <rPh sb="7" eb="8">
      <t>チ</t>
    </rPh>
    <rPh sb="8" eb="9">
      <t>コク</t>
    </rPh>
    <phoneticPr fontId="3"/>
  </si>
  <si>
    <r>
      <t>To (</t>
    </r>
    <r>
      <rPr>
        <sz val="11"/>
        <rFont val="ＭＳ Ｐ明朝"/>
        <family val="1"/>
        <charset val="128"/>
      </rPr>
      <t>着地国</t>
    </r>
    <r>
      <rPr>
        <sz val="11"/>
        <rFont val="Times New Roman"/>
        <family val="1"/>
      </rPr>
      <t>)</t>
    </r>
    <rPh sb="4" eb="5">
      <t>チャク</t>
    </rPh>
    <rPh sb="5" eb="6">
      <t>チ</t>
    </rPh>
    <rPh sb="6" eb="7">
      <t>コク</t>
    </rPh>
    <phoneticPr fontId="3"/>
  </si>
  <si>
    <t>JAKARTA INDONESIA</t>
  </si>
  <si>
    <r>
      <rPr>
        <sz val="11"/>
        <color theme="1"/>
        <rFont val="ＭＳ Ｐゴシック"/>
        <family val="2"/>
        <charset val="128"/>
      </rPr>
      <t xml:space="preserve">品番
</t>
    </r>
    <r>
      <rPr>
        <sz val="11"/>
        <color theme="1"/>
        <rFont val="Times New Roman"/>
        <family val="1"/>
      </rPr>
      <t>( Part No)</t>
    </r>
    <rPh sb="0" eb="2">
      <t>ヒンバン</t>
    </rPh>
    <phoneticPr fontId="1"/>
  </si>
  <si>
    <r>
      <rPr>
        <sz val="11"/>
        <color theme="1"/>
        <rFont val="ＭＳ Ｐゴシック"/>
        <family val="2"/>
        <charset val="128"/>
      </rPr>
      <t xml:space="preserve">品名
</t>
    </r>
    <r>
      <rPr>
        <sz val="11"/>
        <color theme="1"/>
        <rFont val="Times New Roman"/>
        <family val="1"/>
      </rPr>
      <t>(Part Name)</t>
    </r>
    <rPh sb="0" eb="2">
      <t>ヒンメイ</t>
    </rPh>
    <phoneticPr fontId="1"/>
  </si>
  <si>
    <t>注文書No
PO No</t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</si>
  <si>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1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</si>
  <si>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1"/>
  </si>
  <si>
    <t>LDBA053500-0</t>
  </si>
  <si>
    <t>LDBA053700-0</t>
  </si>
  <si>
    <t>LDBA053800-0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</si>
  <si>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</si>
  <si>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t>Terms: FOB HAI PHONG VIETNAM Incoterms® 2020</t>
  </si>
  <si>
    <r>
      <rPr>
        <sz val="11"/>
        <color theme="1"/>
        <rFont val="ＭＳ Ｐゴシック"/>
        <family val="2"/>
        <charset val="128"/>
      </rPr>
      <t>署名（</t>
    </r>
    <r>
      <rPr>
        <sz val="11"/>
        <color theme="1"/>
        <rFont val="Times New Roman"/>
        <family val="1"/>
      </rPr>
      <t xml:space="preserve"> Singnature )</t>
    </r>
  </si>
  <si>
    <t>原産国 (Country of Origin) : VIETNAM</t>
  </si>
  <si>
    <t>PACKING LIST</t>
    <phoneticPr fontId="1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</si>
  <si>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</si>
  <si>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</si>
  <si>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1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</si>
  <si>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</si>
  <si>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</si>
  <si>
    <t>正味重量
(Net weight)</t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</si>
  <si>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</si>
  <si>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1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</si>
  <si>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1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</si>
  <si>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SEA</t>
    </r>
  </si>
  <si>
    <t>TEL :62-21-8975220 ext : 252</t>
  </si>
  <si>
    <t xml:space="preserve">                          </t>
  </si>
  <si>
    <t>LDBA064303-0</t>
  </si>
  <si>
    <t>LDBA053603-0</t>
  </si>
  <si>
    <t>LDBA053601-2</t>
  </si>
  <si>
    <t>LDBA064301-2</t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</si>
  <si>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pieces) :</t>
    </r>
  </si>
  <si>
    <t>LDBA044901-2</t>
  </si>
  <si>
    <t>LDBA045001-2</t>
  </si>
  <si>
    <t>LDBA043800-2</t>
  </si>
  <si>
    <t>LDBA043900-2</t>
  </si>
  <si>
    <t>LDBA060800-0</t>
  </si>
  <si>
    <t>LDBA061200-0</t>
  </si>
  <si>
    <t>LDBA061300-0</t>
  </si>
  <si>
    <t>LDBA060501-1</t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</si>
  <si>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 xml:space="preserve">）
</t>
    </r>
    <r>
      <rPr>
        <sz val="11"/>
        <color theme="1"/>
        <rFont val="Times New Roman"/>
        <family val="1"/>
      </rPr>
      <t>USD</t>
    </r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</si>
  <si>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
USD</t>
    </r>
  </si>
  <si>
    <t>LDBA045101-3</t>
  </si>
  <si>
    <t xml:space="preserve">KAWASAN INDUSTRIAL EJIP PLOT 1E-2  SUKARESMI CIKARANG SELATAN </t>
  </si>
  <si>
    <t>TAX ID: 001.558.251.3-056.000</t>
  </si>
  <si>
    <t>P</t>
  </si>
  <si>
    <r>
      <rPr>
        <sz val="11"/>
        <color theme="1"/>
        <rFont val="ＭＳ Ｐゴシック"/>
        <family val="2"/>
        <charset val="128"/>
      </rPr>
      <t>有償（</t>
    </r>
    <r>
      <rPr>
        <sz val="11"/>
        <color theme="1"/>
        <rFont val="Times New Roman"/>
        <family val="1"/>
      </rPr>
      <t xml:space="preserve">Commerical Value) </t>
    </r>
  </si>
  <si>
    <r>
      <rPr>
        <sz val="11"/>
        <color theme="1"/>
        <rFont val="ＭＳ Ｐゴシック"/>
        <family val="2"/>
        <charset val="128"/>
      </rPr>
      <t>無償（</t>
    </r>
    <r>
      <rPr>
        <sz val="11"/>
        <color theme="1"/>
        <rFont val="Times New Roman"/>
        <family val="1"/>
      </rPr>
      <t xml:space="preserve">No Commerical Value) </t>
    </r>
  </si>
  <si>
    <r>
      <rPr>
        <sz val="11"/>
        <color theme="1"/>
        <rFont val="ＭＳ Ｐゴシック"/>
        <family val="2"/>
        <charset val="128"/>
      </rPr>
      <t>贈物（</t>
    </r>
    <r>
      <rPr>
        <sz val="11"/>
        <color theme="1"/>
        <rFont val="Times New Roman"/>
        <family val="1"/>
      </rPr>
      <t>Gift)</t>
    </r>
  </si>
  <si>
    <r>
      <rPr>
        <sz val="11"/>
        <color theme="1"/>
        <rFont val="ＭＳ Ｐゴシック"/>
        <family val="2"/>
        <charset val="128"/>
      </rPr>
      <t>商品見本（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Sample, No Commercial Value</t>
    </r>
    <r>
      <rPr>
        <sz val="11"/>
        <color theme="1"/>
        <rFont val="Times New Roman"/>
        <family val="1"/>
      </rPr>
      <t xml:space="preserve"> )</t>
    </r>
  </si>
  <si>
    <r>
      <rPr>
        <sz val="11"/>
        <color theme="1"/>
        <rFont val="ＭＳ Ｐゴシック"/>
        <family val="2"/>
        <charset val="128"/>
      </rPr>
      <t>その他（</t>
    </r>
    <r>
      <rPr>
        <sz val="11"/>
        <color theme="1"/>
        <rFont val="Times New Roman"/>
        <family val="1"/>
      </rPr>
      <t>Other)</t>
    </r>
  </si>
  <si>
    <t>NENH WARD BAC NINH PROVINCE</t>
  </si>
  <si>
    <t>BACNINH VIETNAM</t>
  </si>
  <si>
    <t>LDBA093301-0</t>
  </si>
  <si>
    <t>PHC-2025100007</t>
  </si>
  <si>
    <t>PHC-2025100019</t>
  </si>
  <si>
    <t>PHC-2025100007
PHC-2025100019</t>
  </si>
  <si>
    <t>PHC-2025100063</t>
  </si>
  <si>
    <t>PHC-2025100063
PHC-2023060092</t>
  </si>
  <si>
    <t>PHC-2023060092</t>
  </si>
  <si>
    <t>PHC-2024070112</t>
  </si>
  <si>
    <t>PHC-2024090117</t>
  </si>
  <si>
    <t>インボイス作成日（Date): 24/11/2025</t>
  </si>
  <si>
    <t>Invoice No
[Invoice No]</t>
    <phoneticPr fontId="1"/>
  </si>
  <si>
    <t>No</t>
    <phoneticPr fontId="1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</si>
  <si>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1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</si>
  <si>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1"/>
  </si>
  <si>
    <t>重さ</t>
    <rPh sb="0" eb="1">
      <t>オモ</t>
    </rPh>
    <phoneticPr fontId="1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</si>
  <si>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1"/>
  </si>
  <si>
    <t>出荷数</t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</si>
  <si>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1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</si>
  <si>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1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</si>
  <si>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1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</si>
  <si>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1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</si>
  <si>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1"/>
  </si>
  <si>
    <t>Số lượng tối 
đa 1palet</t>
  </si>
  <si>
    <t>単位</t>
    <rPh sb="0" eb="2">
      <t>タンイ</t>
    </rPh>
    <phoneticPr fontId="1"/>
  </si>
  <si>
    <t>KT</t>
  </si>
  <si>
    <t>RAIL TOP</t>
  </si>
  <si>
    <t>pcs</t>
    <phoneticPr fontId="1"/>
  </si>
  <si>
    <t>78mm x 25mmx710mm</t>
  </si>
  <si>
    <t>LDBA043900-1</t>
  </si>
  <si>
    <t>RAIL BOTTOM</t>
  </si>
  <si>
    <t>33mm x 81mm x 749mm</t>
  </si>
  <si>
    <t>LDBA044000-0</t>
    <phoneticPr fontId="7"/>
  </si>
  <si>
    <t>RAIL SIDE</t>
  </si>
  <si>
    <t>15mm x 78mm x 727mm</t>
  </si>
  <si>
    <t>LDBA044100-0</t>
    <phoneticPr fontId="7"/>
  </si>
  <si>
    <t>15mm x 78mm x 1724mm</t>
  </si>
  <si>
    <t>LDBA044200-3</t>
  </si>
  <si>
    <t>DOOR UPPER SASH</t>
  </si>
  <si>
    <t>LDBA044400-3</t>
    <phoneticPr fontId="7"/>
  </si>
  <si>
    <t>DOOR LOWER SASH R</t>
  </si>
  <si>
    <t>28mm x 70mm x 353mm</t>
  </si>
  <si>
    <t>LDBA044500-3</t>
    <phoneticPr fontId="7"/>
  </si>
  <si>
    <t>DOOR LOWER SASH L</t>
  </si>
  <si>
    <t>LDBA044600-6</t>
  </si>
  <si>
    <t>DOOR OUTER SASH R</t>
  </si>
  <si>
    <t>LDBA044700-7</t>
  </si>
  <si>
    <t>DOOR OUTER SASH L</t>
  </si>
  <si>
    <t>LDBA044800-7</t>
  </si>
  <si>
    <t>DOOR CENTER SASH</t>
  </si>
  <si>
    <t>LDBA044800-8</t>
  </si>
  <si>
    <t>LDBA044800-9</t>
  </si>
  <si>
    <t>LDBA045100-7</t>
  </si>
  <si>
    <t>LDBA045100-9</t>
  </si>
  <si>
    <t>LDBA043601-0</t>
  </si>
  <si>
    <t>LIGHT COVER</t>
  </si>
  <si>
    <t>17.5mm x 28.8mm x 717mm</t>
  </si>
  <si>
    <t>LDBA045101-2</t>
  </si>
  <si>
    <t>DOOR CENTER SASH-S500</t>
  </si>
  <si>
    <t>DOOR CENTER SASH-S500H</t>
  </si>
  <si>
    <t>DOOR OUTER SASH R -S500</t>
  </si>
  <si>
    <t>LDBA044902-0</t>
  </si>
  <si>
    <t>DOOR OUTER SASH R -S500H</t>
  </si>
  <si>
    <t>DOOR OUTER SASH L-S500</t>
  </si>
  <si>
    <t>LDBA045002-0</t>
  </si>
  <si>
    <t>DOOR OUTER SASH L-S500H</t>
  </si>
  <si>
    <t xml:space="preserve"> LIGHT COVER-S500H</t>
  </si>
  <si>
    <t>LDBA053601-1</t>
  </si>
  <si>
    <t>DOOR UPPER SASH L-S500H</t>
  </si>
  <si>
    <t>DOOR LOWER SASH L-S500H</t>
  </si>
  <si>
    <t xml:space="preserve"> DOOR LOWER SASH R-S500H</t>
  </si>
  <si>
    <t>LDBA053900-1</t>
  </si>
  <si>
    <t>RAIL TOP-S500H</t>
  </si>
  <si>
    <t>LDBA054000-2</t>
  </si>
  <si>
    <t xml:space="preserve"> RAIL BOTTOM-S500H</t>
  </si>
  <si>
    <t>LDBA064301-1</t>
  </si>
  <si>
    <t>DOOR UPPER SASH R-S500H</t>
  </si>
  <si>
    <t>LDBA045101-1</t>
  </si>
  <si>
    <t>DOOR CENTER SASH-S500H</t>
    <phoneticPr fontId="2"/>
  </si>
  <si>
    <t>DOOR UPPER SASH L-S150H</t>
  </si>
  <si>
    <t>DOOR UPPER SASH R-S150H</t>
  </si>
  <si>
    <t>RAIL TOP S1200H</t>
  </si>
  <si>
    <t>LDBA087401-0</t>
  </si>
  <si>
    <t>LDBA053602-1</t>
  </si>
  <si>
    <t>DOOR UPPER SASH L-S1000H</t>
  </si>
  <si>
    <t>LDBA064302-1</t>
  </si>
  <si>
    <t>DOOR UPPER SASH R-S1000H</t>
  </si>
  <si>
    <t>LDBA060700-0</t>
  </si>
  <si>
    <t>RAIL SIDE L</t>
  </si>
  <si>
    <t>RAIL SIDE R</t>
  </si>
  <si>
    <t xml:space="preserve"> DOOR LOWER SASH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</si>
</sst>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.00_);_(* \(#,##0.00\);_(* &quot;-&quot;??_);_(@_)"/>
    <numFmt numFmtId="177" formatCode="0\ \ \ &quot; pcs/Box&quot;"/>
    <numFmt numFmtId="178" formatCode="0.00\ &quot;kg&quot;"/>
    <numFmt numFmtId="179" formatCode="0.0\ &quot;g&quot;"/>
    <numFmt numFmtId="180" formatCode="000"/>
    <numFmt numFmtId="181" formatCode="0\ \ \ "/>
    <numFmt numFmtId="182" formatCode="0.0\ &quot;kg/巻&quot;"/>
    <numFmt numFmtId="183" formatCode="0.0\ &quot;kg&quot;"/>
    <numFmt numFmtId="184" formatCode="0\ \ \ &quot;m&quot;"/>
    <numFmt numFmtId="185" formatCode="0\ \ \ &quot;pcs&quot;"/>
    <numFmt numFmtId="186" formatCode="0\ \ &quot;Boxs&quot;"/>
    <numFmt numFmtId="187" formatCode="0\ \ \ &quot;Pallets&quot;"/>
    <numFmt numFmtId="188" formatCode="0\ \ &quot;kg&quot;"/>
    <numFmt numFmtId="189" formatCode="0\ \ &quot;pcs&quot;\ \ "/>
    <numFmt numFmtId="190" formatCode="0\ \ &quot;mm&quot;"/>
    <numFmt numFmtId="191" formatCode="0.0\ \ &quot;kg&quot;"/>
    <numFmt numFmtId="192" formatCode="0.00\ \ &quot;kg&quot;"/>
    <numFmt numFmtId="193" formatCode="0.0_ "/>
    <numFmt numFmtId="194" formatCode="0.00\ &quot;g&quot;"/>
    <numFmt numFmtId="195" formatCode="0.00\ &quot;CBM&quot;"/>
    <numFmt numFmtId="196" formatCode="0\ &quot;Pallets&quot;"/>
    <numFmt numFmtId="197" formatCode="0.000"/>
    <numFmt numFmtId="198" formatCode="0.00\ \ "/>
    <numFmt numFmtId="202" formatCode="&quot;$&quot;\ 0.00"/>
    <numFmt numFmtId="203" formatCode="0\ &quot;pcs/Box&quot;"/>
    <numFmt numFmtId="204" formatCode="0\ &quot;Box&quot;"/>
    <numFmt numFmtId="205" formatCode="0\ &quot;本迄&quot;"/>
  </numFmts>
  <fonts count="41">
    <font>
      <sz val="11"/>
      <color theme="1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2"/>
    </font>
    <font>
      <b/>
      <sz val="11"/>
      <color theme="1"/>
      <name val="ＭＳ Ｐゴシック"/>
      <family val="2"/>
      <charset val="128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128"/>
    </font>
    <font>
      <sz val="11"/>
      <color theme="1"/>
      <name val="ＭＳ Ｐゴシック"/>
      <family val="2"/>
      <charset val="128"/>
      <scheme val="major"/>
    </font>
    <font>
      <sz val="11"/>
      <color theme="1"/>
      <name val="Wingdings 2"/>
      <family val="1"/>
      <charset val="2"/>
    </font>
    <font>
      <sz val="11"/>
      <color theme="1"/>
      <name val="HGKyokashotai"/>
      <family val="1"/>
      <charset val="128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6" fillId="0" borderId="0"/>
    <xf numFmtId="176" fontId="37" fillId="0" borderId="0" applyFont="0" applyFill="0" applyBorder="0" applyAlignment="0" applyProtection="0"/>
  </cellStyleXfs>
  <cellXfs count="3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7" xfId="0" applyFont="1" applyBorder="1">
      <alignment vertical="center"/>
    </xf>
    <xf numFmtId="0" fontId="14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2" xfId="0" applyFont="1" applyBorder="1">
      <alignment vertical="center"/>
    </xf>
    <xf numFmtId="0" fontId="2" fillId="0" borderId="25" xfId="0" applyFont="1" applyBorder="1">
      <alignment vertical="center"/>
    </xf>
    <xf numFmtId="0" fontId="12" fillId="0" borderId="6" xfId="0" applyFont="1" applyBorder="1">
      <alignment vertical="center"/>
    </xf>
    <xf numFmtId="0" fontId="5" fillId="0" borderId="20" xfId="0" applyFont="1" applyBorder="1">
      <alignment vertical="center"/>
    </xf>
    <xf numFmtId="0" fontId="12" fillId="0" borderId="21" xfId="0" applyFont="1" applyBorder="1">
      <alignment vertical="center"/>
    </xf>
    <xf numFmtId="0" fontId="12" fillId="0" borderId="30" xfId="0" applyFont="1" applyBorder="1">
      <alignment vertical="center"/>
    </xf>
    <xf numFmtId="0" fontId="4" fillId="0" borderId="0" xfId="1" applyFont="1">
      <alignment vertical="center"/>
    </xf>
    <xf numFmtId="0" fontId="2" fillId="0" borderId="24" xfId="0" applyFont="1" applyBorder="1">
      <alignment vertical="center"/>
    </xf>
    <xf numFmtId="0" fontId="4" fillId="0" borderId="2" xfId="0" applyFont="1" applyBorder="1">
      <alignment vertical="center"/>
    </xf>
    <xf numFmtId="0" fontId="24" fillId="2" borderId="0" xfId="0" applyFont="1" applyFill="1" applyAlignment="1">
      <alignment horizontal="center" vertical="center"/>
    </xf>
    <xf numFmtId="179" fontId="24" fillId="2" borderId="0" xfId="0" applyNumberFormat="1" applyFont="1" applyFill="1" applyAlignment="1">
      <alignment horizontal="center" vertical="center"/>
    </xf>
    <xf numFmtId="183" fontId="24" fillId="2" borderId="0" xfId="0" applyNumberFormat="1" applyFont="1" applyFill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0" fontId="12" fillId="2" borderId="0" xfId="0" applyFont="1" applyFill="1">
      <alignment vertical="center"/>
    </xf>
    <xf numFmtId="0" fontId="4" fillId="0" borderId="20" xfId="0" applyFont="1" applyBorder="1">
      <alignment vertical="center"/>
    </xf>
    <xf numFmtId="0" fontId="4" fillId="0" borderId="1" xfId="0" applyFont="1" applyBorder="1">
      <alignment vertical="center"/>
    </xf>
    <xf numFmtId="0" fontId="27" fillId="0" borderId="20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28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93" fontId="12" fillId="0" borderId="0" xfId="0" applyNumberFormat="1" applyFont="1">
      <alignment vertical="center"/>
    </xf>
    <xf numFmtId="0" fontId="29" fillId="0" borderId="20" xfId="0" applyFont="1" applyBorder="1">
      <alignment vertical="center"/>
    </xf>
    <xf numFmtId="0" fontId="12" fillId="2" borderId="0" xfId="0" applyFont="1" applyFill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181" fontId="12" fillId="2" borderId="0" xfId="0" applyNumberFormat="1" applyFont="1" applyFill="1" applyAlignment="1">
      <alignment horizontal="center" vertical="center"/>
    </xf>
    <xf numFmtId="183" fontId="12" fillId="2" borderId="0" xfId="0" applyNumberFormat="1" applyFont="1" applyFill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0" fontId="31" fillId="0" borderId="20" xfId="0" applyFont="1" applyBorder="1">
      <alignment vertical="center"/>
    </xf>
    <xf numFmtId="0" fontId="32" fillId="0" borderId="0" xfId="0" applyFont="1">
      <alignment vertical="center"/>
    </xf>
    <xf numFmtId="0" fontId="12" fillId="0" borderId="29" xfId="0" applyFont="1" applyBorder="1">
      <alignment vertical="center"/>
    </xf>
    <xf numFmtId="0" fontId="12" fillId="0" borderId="49" xfId="0" applyFont="1" applyBorder="1">
      <alignment vertical="center"/>
    </xf>
    <xf numFmtId="0" fontId="1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8" fontId="12" fillId="2" borderId="36" xfId="0" applyNumberFormat="1" applyFont="1" applyFill="1" applyBorder="1">
      <alignment vertical="center"/>
    </xf>
    <xf numFmtId="1" fontId="12" fillId="2" borderId="4" xfId="0" applyNumberFormat="1" applyFont="1" applyFill="1" applyBorder="1">
      <alignment vertical="center"/>
    </xf>
    <xf numFmtId="0" fontId="12" fillId="2" borderId="51" xfId="0" applyFont="1" applyFill="1" applyBorder="1" applyAlignment="1">
      <alignment horizontal="center" vertical="center" wrapText="1"/>
    </xf>
    <xf numFmtId="0" fontId="14" fillId="2" borderId="15" xfId="0" applyFont="1" applyFill="1" applyBorder="1">
      <alignment vertical="center"/>
    </xf>
    <xf numFmtId="0" fontId="12" fillId="2" borderId="16" xfId="0" applyFont="1" applyFill="1" applyBorder="1">
      <alignment vertical="center"/>
    </xf>
    <xf numFmtId="0" fontId="2" fillId="2" borderId="17" xfId="0" applyFont="1" applyFill="1" applyBorder="1" applyAlignment="1">
      <alignment vertical="top" wrapText="1"/>
    </xf>
    <xf numFmtId="0" fontId="12" fillId="2" borderId="21" xfId="0" applyFont="1" applyFill="1" applyBorder="1">
      <alignment vertical="center"/>
    </xf>
    <xf numFmtId="0" fontId="12" fillId="2" borderId="20" xfId="0" applyFont="1" applyFill="1" applyBorder="1">
      <alignment vertical="center"/>
    </xf>
    <xf numFmtId="0" fontId="2" fillId="2" borderId="1" xfId="0" applyFont="1" applyFill="1" applyBorder="1" applyAlignment="1">
      <alignment vertical="top" wrapText="1"/>
    </xf>
    <xf numFmtId="0" fontId="27" fillId="2" borderId="20" xfId="0" applyFont="1" applyFill="1" applyBorder="1">
      <alignment vertical="center"/>
    </xf>
    <xf numFmtId="0" fontId="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center" vertical="center"/>
    </xf>
    <xf numFmtId="0" fontId="12" fillId="2" borderId="24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2" fillId="2" borderId="3" xfId="0" applyFont="1" applyFill="1" applyBorder="1" applyAlignment="1">
      <alignment vertical="top" wrapText="1"/>
    </xf>
    <xf numFmtId="0" fontId="2" fillId="2" borderId="25" xfId="0" applyFont="1" applyFill="1" applyBorder="1">
      <alignment vertical="center"/>
    </xf>
    <xf numFmtId="0" fontId="12" fillId="2" borderId="6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2" fillId="2" borderId="0" xfId="0" applyFont="1" applyFill="1" applyAlignment="1">
      <alignment vertical="top" wrapText="1"/>
    </xf>
    <xf numFmtId="0" fontId="12" fillId="2" borderId="22" xfId="0" applyFont="1" applyFill="1" applyBorder="1">
      <alignment vertical="center"/>
    </xf>
    <xf numFmtId="0" fontId="29" fillId="2" borderId="2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24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12" fillId="2" borderId="29" xfId="0" applyFont="1" applyFill="1" applyBorder="1">
      <alignment vertical="center"/>
    </xf>
    <xf numFmtId="0" fontId="12" fillId="2" borderId="27" xfId="0" applyFont="1" applyFill="1" applyBorder="1">
      <alignment vertical="center"/>
    </xf>
    <xf numFmtId="0" fontId="12" fillId="2" borderId="30" xfId="0" applyFont="1" applyFill="1" applyBorder="1">
      <alignment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Continuous" vertical="distributed"/>
    </xf>
    <xf numFmtId="178" fontId="12" fillId="2" borderId="4" xfId="0" applyNumberFormat="1" applyFont="1" applyFill="1" applyBorder="1">
      <alignment vertical="center"/>
    </xf>
    <xf numFmtId="0" fontId="10" fillId="2" borderId="0" xfId="0" applyFont="1" applyFill="1">
      <alignment vertical="center"/>
    </xf>
    <xf numFmtId="185" fontId="12" fillId="2" borderId="0" xfId="0" applyNumberFormat="1" applyFont="1" applyFill="1" applyAlignment="1">
      <alignment horizontal="center" vertical="center"/>
    </xf>
    <xf numFmtId="189" fontId="31" fillId="2" borderId="0" xfId="0" applyNumberFormat="1" applyFont="1" applyFill="1" applyAlignment="1">
      <alignment horizontal="left" vertical="center"/>
    </xf>
    <xf numFmtId="184" fontId="12" fillId="2" borderId="0" xfId="0" applyNumberFormat="1" applyFont="1" applyFill="1" applyAlignment="1">
      <alignment horizontal="left" vertical="center"/>
    </xf>
    <xf numFmtId="196" fontId="12" fillId="2" borderId="0" xfId="0" applyNumberFormat="1" applyFont="1" applyFill="1" applyAlignment="1">
      <alignment horizontal="right" vertical="center"/>
    </xf>
    <xf numFmtId="187" fontId="12" fillId="2" borderId="0" xfId="0" applyNumberFormat="1" applyFont="1" applyFill="1" applyAlignment="1">
      <alignment horizontal="left" vertical="center"/>
    </xf>
    <xf numFmtId="0" fontId="18" fillId="2" borderId="0" xfId="0" applyFont="1" applyFill="1">
      <alignment vertical="center"/>
    </xf>
    <xf numFmtId="195" fontId="12" fillId="2" borderId="0" xfId="0" applyNumberFormat="1" applyFont="1" applyFill="1" applyAlignment="1">
      <alignment horizontal="center" vertical="center"/>
    </xf>
    <xf numFmtId="195" fontId="12" fillId="2" borderId="0" xfId="0" applyNumberFormat="1" applyFont="1" applyFill="1" applyAlignment="1">
      <alignment horizontal="left" vertical="center"/>
    </xf>
    <xf numFmtId="0" fontId="34" fillId="2" borderId="0" xfId="0" applyFont="1" applyFill="1">
      <alignment vertical="center"/>
    </xf>
    <xf numFmtId="0" fontId="22" fillId="2" borderId="0" xfId="1" applyFont="1" applyFill="1" applyAlignment="1">
      <alignment horizontal="left" vertical="center"/>
    </xf>
    <xf numFmtId="193" fontId="12" fillId="2" borderId="0" xfId="0" applyNumberFormat="1" applyFont="1" applyFill="1">
      <alignment vertical="center"/>
    </xf>
    <xf numFmtId="182" fontId="12" fillId="2" borderId="0" xfId="0" applyNumberFormat="1" applyFont="1" applyFill="1" applyAlignment="1">
      <alignment horizontal="center" vertical="center"/>
    </xf>
    <xf numFmtId="188" fontId="12" fillId="2" borderId="0" xfId="0" applyNumberFormat="1" applyFont="1" applyFill="1" applyAlignment="1">
      <alignment horizontal="center" vertical="center"/>
    </xf>
    <xf numFmtId="192" fontId="12" fillId="2" borderId="0" xfId="0" applyNumberFormat="1" applyFont="1" applyFill="1" applyAlignment="1">
      <alignment horizontal="center" vertical="center"/>
    </xf>
    <xf numFmtId="191" fontId="12" fillId="2" borderId="0" xfId="0" applyNumberFormat="1" applyFont="1" applyFill="1">
      <alignment vertical="center"/>
    </xf>
    <xf numFmtId="190" fontId="12" fillId="2" borderId="0" xfId="0" applyNumberFormat="1" applyFont="1" applyFill="1">
      <alignment vertical="center"/>
    </xf>
    <xf numFmtId="194" fontId="12" fillId="2" borderId="0" xfId="0" applyNumberFormat="1" applyFont="1" applyFill="1" applyAlignment="1">
      <alignment horizontal="center" vertical="center"/>
    </xf>
    <xf numFmtId="180" fontId="12" fillId="2" borderId="0" xfId="0" applyNumberFormat="1" applyFont="1" applyFill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6" fillId="0" borderId="8" xfId="0" applyFont="1" applyBorder="1">
      <alignment vertical="center"/>
    </xf>
    <xf numFmtId="0" fontId="36" fillId="0" borderId="4" xfId="0" applyFont="1" applyBorder="1">
      <alignment vertical="center"/>
    </xf>
    <xf numFmtId="0" fontId="12" fillId="2" borderId="5" xfId="0" applyFont="1" applyFill="1" applyBorder="1">
      <alignment vertical="center"/>
    </xf>
    <xf numFmtId="177" fontId="12" fillId="2" borderId="10" xfId="0" applyNumberFormat="1" applyFont="1" applyFill="1" applyBorder="1" applyAlignment="1">
      <alignment horizontal="center" vertical="center"/>
    </xf>
    <xf numFmtId="177" fontId="12" fillId="2" borderId="11" xfId="0" applyNumberFormat="1" applyFont="1" applyFill="1" applyBorder="1" applyAlignment="1">
      <alignment horizontal="center" vertical="center"/>
    </xf>
    <xf numFmtId="176" fontId="12" fillId="2" borderId="0" xfId="4" applyFont="1" applyFill="1" applyBorder="1" applyAlignment="1">
      <alignment vertical="center"/>
    </xf>
    <xf numFmtId="0" fontId="25" fillId="2" borderId="0" xfId="0" applyFont="1" applyFill="1" applyAlignment="1" applyProtection="1">
      <alignment horizontal="center" vertical="center"/>
      <protection locked="0"/>
    </xf>
    <xf numFmtId="197" fontId="12" fillId="2" borderId="0" xfId="0" applyNumberFormat="1" applyFont="1" applyFill="1">
      <alignment vertical="center"/>
    </xf>
    <xf numFmtId="2" fontId="12" fillId="2" borderId="0" xfId="0" applyNumberFormat="1" applyFont="1" applyFill="1">
      <alignment vertical="center"/>
    </xf>
    <xf numFmtId="0" fontId="8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198" fontId="12" fillId="2" borderId="4" xfId="0" applyNumberFormat="1" applyFont="1" applyFill="1" applyBorder="1" applyAlignment="1">
      <alignment horizontal="center" vertical="center"/>
    </xf>
    <xf numFmtId="198" fontId="12" fillId="2" borderId="3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37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4" fillId="0" borderId="2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8" xfId="1" applyFont="1" applyBorder="1" applyAlignment="1">
      <alignment horizontal="left" vertical="center"/>
    </xf>
    <xf numFmtId="0" fontId="4" fillId="0" borderId="39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2" fillId="2" borderId="0" xfId="1" applyFont="1" applyFill="1" applyAlignment="1">
      <alignment horizontal="left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6" fontId="14" fillId="2" borderId="13" xfId="0" applyNumberFormat="1" applyFont="1" applyFill="1" applyBorder="1" applyAlignment="1">
      <alignment horizontal="center" vertical="center"/>
    </xf>
    <xf numFmtId="186" fontId="14" fillId="2" borderId="44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8" fillId="2" borderId="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right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top"/>
    </xf>
    <xf numFmtId="178" fontId="14" fillId="2" borderId="0" xfId="0" applyNumberFormat="1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7" fontId="12" fillId="2" borderId="10" xfId="0" applyNumberFormat="1" applyFont="1" applyFill="1" applyBorder="1" applyAlignment="1">
      <alignment horizontal="center" vertical="center"/>
    </xf>
    <xf numFmtId="177" fontId="12" fillId="2" borderId="11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1" fontId="12" fillId="2" borderId="14" xfId="0" applyNumberFormat="1" applyFont="1" applyFill="1" applyBorder="1" applyAlignment="1">
      <alignment horizontal="center" vertical="center"/>
    </xf>
    <xf numFmtId="185" fontId="14" fillId="2" borderId="13" xfId="0" applyNumberFormat="1" applyFont="1" applyFill="1" applyBorder="1" applyAlignment="1">
      <alignment horizontal="center" vertical="center"/>
    </xf>
    <xf numFmtId="185" fontId="14" fillId="2" borderId="44" xfId="0" applyNumberFormat="1" applyFont="1" applyFill="1" applyBorder="1" applyAlignment="1">
      <alignment horizontal="center" vertical="center"/>
    </xf>
    <xf numFmtId="178" fontId="14" fillId="2" borderId="10" xfId="0" applyNumberFormat="1" applyFont="1" applyFill="1" applyBorder="1" applyAlignment="1">
      <alignment horizontal="center" vertical="center"/>
    </xf>
    <xf numFmtId="178" fontId="14" fillId="2" borderId="53" xfId="0" applyNumberFormat="1" applyFont="1" applyFill="1" applyBorder="1" applyAlignment="1">
      <alignment horizontal="center" vertical="center"/>
    </xf>
    <xf numFmtId="187" fontId="14" fillId="2" borderId="13" xfId="0" applyNumberFormat="1" applyFont="1" applyFill="1" applyBorder="1" applyAlignment="1">
      <alignment horizontal="center" vertical="center"/>
    </xf>
    <xf numFmtId="187" fontId="14" fillId="2" borderId="44" xfId="0" applyNumberFormat="1" applyFont="1" applyFill="1" applyBorder="1" applyAlignment="1">
      <alignment horizontal="center" vertical="center"/>
    </xf>
    <xf numFmtId="178" fontId="14" fillId="2" borderId="4" xfId="0" applyNumberFormat="1" applyFont="1" applyFill="1" applyBorder="1" applyAlignment="1">
      <alignment horizontal="center" vertical="center"/>
    </xf>
    <xf numFmtId="178" fontId="14" fillId="2" borderId="52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2" borderId="28" xfId="1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left" vertical="center"/>
    </xf>
    <xf numFmtId="0" fontId="4" fillId="2" borderId="39" xfId="1" applyFont="1" applyFill="1" applyBorder="1" applyAlignment="1">
      <alignment horizontal="left" vertical="center"/>
    </xf>
    <xf numFmtId="0" fontId="4" fillId="2" borderId="46" xfId="1" applyFont="1" applyFill="1" applyBorder="1" applyAlignment="1">
      <alignment horizontal="center" vertical="center"/>
    </xf>
    <xf numFmtId="0" fontId="4" fillId="2" borderId="47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 wrapText="1"/>
    </xf>
    <xf numFmtId="202" fontId="40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 applyProtection="1">
      <alignment horizontal="center" vertical="center"/>
      <protection locked="0"/>
    </xf>
    <xf numFmtId="203" fontId="12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83" fontId="12" fillId="0" borderId="4" xfId="0" applyNumberFormat="1" applyFont="1" applyBorder="1" applyAlignment="1">
      <alignment horizontal="center" vertical="center"/>
    </xf>
    <xf numFmtId="178" fontId="12" fillId="0" borderId="4" xfId="0" applyNumberFormat="1" applyFont="1" applyBorder="1" applyAlignment="1">
      <alignment horizontal="center" vertical="center"/>
    </xf>
    <xf numFmtId="192" fontId="12" fillId="0" borderId="4" xfId="0" applyNumberFormat="1" applyFont="1" applyBorder="1" applyAlignment="1">
      <alignment horizontal="center" vertical="center"/>
    </xf>
    <xf numFmtId="204" fontId="12" fillId="0" borderId="4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/>
    </xf>
    <xf numFmtId="202" fontId="40" fillId="0" borderId="4" xfId="0" applyNumberFormat="1" applyFont="1" applyBorder="1" applyAlignment="1">
      <alignment horizontal="center" vertical="center"/>
    </xf>
    <xf numFmtId="202" fontId="40" fillId="3" borderId="4" xfId="0" applyNumberFormat="1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202" fontId="40" fillId="2" borderId="4" xfId="0" applyNumberFormat="1" applyFont="1" applyFill="1" applyBorder="1" applyAlignment="1">
      <alignment horizontal="center" vertical="center" wrapText="1"/>
    </xf>
    <xf numFmtId="0" fontId="25" fillId="4" borderId="4" xfId="0" applyFont="1" applyFill="1" applyBorder="1" applyAlignment="1" applyProtection="1">
      <alignment horizontal="center" vertical="center"/>
      <protection locked="0"/>
    </xf>
    <xf numFmtId="202" fontId="40" fillId="3" borderId="4" xfId="0" applyNumberFormat="1" applyFont="1" applyFill="1" applyBorder="1" applyAlignment="1">
      <alignment horizontal="center" vertical="center" wrapText="1"/>
    </xf>
    <xf numFmtId="0" fontId="40" fillId="2" borderId="11" xfId="0" applyFont="1" applyFill="1" applyBorder="1" applyAlignment="1">
      <alignment horizontal="left" vertical="center" wrapText="1"/>
    </xf>
    <xf numFmtId="3" fontId="25" fillId="2" borderId="11" xfId="0" applyNumberFormat="1" applyFont="1" applyFill="1" applyBorder="1" applyAlignment="1">
      <alignment horizontal="left"/>
    </xf>
    <xf numFmtId="202" fontId="25" fillId="2" borderId="4" xfId="0" applyNumberFormat="1" applyFont="1" applyFill="1" applyBorder="1" applyAlignment="1">
      <alignment horizontal="center"/>
    </xf>
    <xf numFmtId="202" fontId="25" fillId="3" borderId="4" xfId="0" applyNumberFormat="1" applyFont="1" applyFill="1" applyBorder="1" applyAlignment="1">
      <alignment horizontal="center"/>
    </xf>
    <xf numFmtId="0" fontId="12" fillId="2" borderId="4" xfId="0" applyFont="1" applyFill="1" applyBorder="1">
      <alignment vertical="center"/>
    </xf>
    <xf numFmtId="0" fontId="25" fillId="0" borderId="4" xfId="0" applyFont="1" applyBorder="1" applyAlignment="1">
      <alignment horizontal="center" vertical="center"/>
    </xf>
    <xf numFmtId="0" fontId="12" fillId="2" borderId="10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0" fontId="25" fillId="3" borderId="4" xfId="0" applyFont="1" applyFill="1" applyBorder="1" applyAlignment="1" applyProtection="1">
      <alignment horizontal="center" vertical="center"/>
      <protection locked="0"/>
    </xf>
    <xf numFmtId="203" fontId="12" fillId="3" borderId="4" xfId="0" applyNumberFormat="1" applyFont="1" applyFill="1" applyBorder="1" applyAlignment="1">
      <alignment horizontal="center" vertical="center"/>
    </xf>
    <xf numFmtId="178" fontId="12" fillId="3" borderId="4" xfId="0" applyNumberFormat="1" applyFont="1" applyFill="1" applyBorder="1" applyAlignment="1">
      <alignment horizontal="center" vertical="center"/>
    </xf>
    <xf numFmtId="192" fontId="12" fillId="3" borderId="4" xfId="0" applyNumberFormat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40" fillId="2" borderId="4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203" fontId="12" fillId="5" borderId="4" xfId="0" applyNumberFormat="1" applyFont="1" applyFill="1" applyBorder="1" applyAlignment="1">
      <alignment horizontal="center" vertical="center"/>
    </xf>
    <xf numFmtId="178" fontId="12" fillId="5" borderId="4" xfId="0" applyNumberFormat="1" applyFont="1" applyFill="1" applyBorder="1" applyAlignment="1">
      <alignment horizontal="center" vertical="center"/>
    </xf>
    <xf numFmtId="192" fontId="12" fillId="5" borderId="4" xfId="0" applyNumberFormat="1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205" fontId="12" fillId="0" borderId="0" xfId="0" applyNumberFormat="1" applyFont="1">
      <alignment vertical="center"/>
    </xf>
    <xf numFmtId="0" fontId="4" fillId="2" borderId="10" xfId="3" applyFont="1" applyFill="1" applyBorder="1" applyAlignment="1">
      <alignment vertical="center" wrapText="1"/>
    </xf>
    <xf numFmtId="0" fontId="40" fillId="2" borderId="4" xfId="3" applyFont="1" applyFill="1" applyBorder="1" applyAlignment="1">
      <alignment vertical="center" wrapText="1"/>
    </xf>
    <xf numFmtId="0" fontId="4" fillId="2" borderId="4" xfId="3" applyFont="1" applyFill="1" applyBorder="1" applyAlignment="1">
      <alignment vertical="center" wrapText="1"/>
    </xf>
    <xf numFmtId="202" fontId="25" fillId="5" borderId="4" xfId="0" applyNumberFormat="1" applyFont="1" applyFill="1" applyBorder="1" applyAlignment="1">
      <alignment horizontal="center"/>
    </xf>
    <xf numFmtId="0" fontId="25" fillId="5" borderId="4" xfId="0" applyFont="1" applyFill="1" applyBorder="1" applyAlignment="1">
      <alignment horizontal="center" vertical="center"/>
    </xf>
    <xf numFmtId="202" fontId="25" fillId="0" borderId="4" xfId="0" applyNumberFormat="1" applyFont="1" applyBorder="1" applyAlignment="1">
      <alignment horizontal="center"/>
    </xf>
    <xf numFmtId="0" fontId="25" fillId="6" borderId="4" xfId="0" applyFont="1" applyFill="1" applyBorder="1" applyAlignment="1">
      <alignment horizontal="center" vertical="center"/>
    </xf>
    <xf numFmtId="0" fontId="40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40" fillId="2" borderId="4" xfId="0" applyFont="1" applyFill="1" applyBorder="1" applyAlignment="1">
      <alignment horizontal="left" vertical="center"/>
    </xf>
    <xf numFmtId="3" fontId="25" fillId="0" borderId="11" xfId="0" applyNumberFormat="1" applyFont="1" applyBorder="1" applyAlignment="1">
      <alignment horizontal="left"/>
    </xf>
    <xf numFmtId="0" fontId="12" fillId="0" borderId="4" xfId="0" applyFont="1" applyBorder="1">
      <alignment vertical="center"/>
    </xf>
  </cellXfs>
  <cellStyles count="5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sai\Downloads\STXI&#12288;&#12452;&#12531;&#12508;&#12452;&#12473;&#12540;&#12497;&#12483;&#12461;&#12531;&#12464;&#12522;&#12473;&#12488;..xlsx" TargetMode="External"/><Relationship Id="rId1" Type="http://schemas.openxmlformats.org/officeDocument/2006/relationships/externalLinkPath" Target="/Users/gasai/Downloads/STXI&#12288;&#12452;&#12531;&#12508;&#12452;&#12473;&#12540;&#12497;&#12483;&#12461;&#12531;&#12464;&#12522;&#12473;&#12488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PACKING LIST"/>
      <sheetName val="IV tổng"/>
      <sheetName val="PL tổng"/>
      <sheetName val="IV tong"/>
      <sheetName val="Dia chi"/>
      <sheetName val="Sheet1"/>
      <sheetName val="Sheet2"/>
      <sheetName val="データ"/>
      <sheetName val="quy cách palet"/>
    </sheetNames>
    <sheetDataSet>
      <sheetData sheetId="0">
        <row r="33">
          <cell r="B33" t="str">
            <v>LDBA043800-2</v>
          </cell>
          <cell r="D33" t="str">
            <v>RAIL TOP</v>
          </cell>
          <cell r="E33" t="str">
            <v>PHC-2025100007</v>
          </cell>
          <cell r="F33" t="str">
            <v>pcs</v>
          </cell>
          <cell r="G33">
            <v>300</v>
          </cell>
          <cell r="H33">
            <v>6.55</v>
          </cell>
          <cell r="J33">
            <v>1965</v>
          </cell>
        </row>
        <row r="34">
          <cell r="B34" t="str">
            <v>LDBA043900-2</v>
          </cell>
          <cell r="D34" t="str">
            <v>RAIL BOTTOM</v>
          </cell>
          <cell r="E34" t="str">
            <v>PHC-2025100007</v>
          </cell>
          <cell r="F34" t="str">
            <v>pcs</v>
          </cell>
          <cell r="G34">
            <v>300</v>
          </cell>
          <cell r="H34">
            <v>9.8800000000000008</v>
          </cell>
          <cell r="J34">
            <v>2964.0000000000005</v>
          </cell>
        </row>
        <row r="35">
          <cell r="B35" t="str">
            <v>LDBA044901-2</v>
          </cell>
          <cell r="D35" t="str">
            <v>DOOR OUTER SASH R -S500</v>
          </cell>
          <cell r="E35" t="str">
            <v>PHC-2025100019</v>
          </cell>
          <cell r="F35" t="str">
            <v>pcs</v>
          </cell>
          <cell r="G35">
            <v>329</v>
          </cell>
          <cell r="H35">
            <v>11.04</v>
          </cell>
          <cell r="J35">
            <v>3632.16</v>
          </cell>
        </row>
        <row r="36">
          <cell r="B36" t="str">
            <v>LDBA045001-2</v>
          </cell>
          <cell r="D36" t="str">
            <v>DOOR OUTER SASH L-S500</v>
          </cell>
          <cell r="E36" t="str">
            <v>PHC-2025100019</v>
          </cell>
          <cell r="F36" t="str">
            <v>pcs</v>
          </cell>
          <cell r="G36">
            <v>331</v>
          </cell>
          <cell r="H36">
            <v>11.04</v>
          </cell>
          <cell r="J36">
            <v>3654.24</v>
          </cell>
        </row>
        <row r="37">
          <cell r="B37" t="str">
            <v>LDBA045101-3</v>
          </cell>
          <cell r="D37" t="str">
            <v>DOOR CENTER SASH-S500H</v>
          </cell>
          <cell r="E37" t="str">
            <v>PHC-2025100007
PHC-2025100019</v>
          </cell>
          <cell r="F37" t="str">
            <v>pcs</v>
          </cell>
          <cell r="G37">
            <v>640</v>
          </cell>
          <cell r="H37">
            <v>7.94</v>
          </cell>
          <cell r="J37">
            <v>5081.6000000000004</v>
          </cell>
        </row>
        <row r="38">
          <cell r="B38" t="str">
            <v>LDBA053601-2</v>
          </cell>
          <cell r="D38" t="str">
            <v>DOOR UPPER SASH L-S500H</v>
          </cell>
          <cell r="E38" t="str">
            <v>PHC-2025100019</v>
          </cell>
          <cell r="F38" t="str">
            <v>pcs</v>
          </cell>
          <cell r="G38">
            <v>300</v>
          </cell>
          <cell r="H38">
            <v>5.01</v>
          </cell>
          <cell r="J38">
            <v>1503</v>
          </cell>
        </row>
        <row r="39">
          <cell r="B39" t="str">
            <v>LDBA064301-2</v>
          </cell>
          <cell r="D39" t="str">
            <v>DOOR UPPER SASH R-S500H</v>
          </cell>
          <cell r="E39" t="str">
            <v>PHC-2025100007</v>
          </cell>
          <cell r="F39" t="str">
            <v>pcs</v>
          </cell>
          <cell r="G39">
            <v>300</v>
          </cell>
          <cell r="H39">
            <v>5.01</v>
          </cell>
          <cell r="J39">
            <v>1503</v>
          </cell>
        </row>
        <row r="40">
          <cell r="B40" t="str">
            <v>LDBA053603-0</v>
          </cell>
          <cell r="D40" t="str">
            <v>DOOR UPPER SASH L-S150H</v>
          </cell>
          <cell r="E40" t="str">
            <v>PHC-2025100019</v>
          </cell>
          <cell r="F40" t="str">
            <v>pcs</v>
          </cell>
          <cell r="G40">
            <v>300</v>
          </cell>
          <cell r="H40">
            <v>4.59</v>
          </cell>
          <cell r="J40">
            <v>1377</v>
          </cell>
        </row>
        <row r="41">
          <cell r="B41" t="str">
            <v>LDBA064303-0</v>
          </cell>
          <cell r="D41" t="str">
            <v>DOOR UPPER SASH R-S150H</v>
          </cell>
          <cell r="E41" t="str">
            <v>PHC-2025100019</v>
          </cell>
          <cell r="F41" t="str">
            <v>pcs</v>
          </cell>
          <cell r="G41">
            <v>300</v>
          </cell>
          <cell r="H41">
            <v>4.59</v>
          </cell>
          <cell r="J41">
            <v>1377</v>
          </cell>
        </row>
        <row r="42">
          <cell r="B42" t="str">
            <v>LDBA053700-0</v>
          </cell>
          <cell r="D42" t="str">
            <v>DOOR LOWER SASH L-S500H</v>
          </cell>
          <cell r="E42" t="str">
            <v>PHC-2025100019</v>
          </cell>
          <cell r="F42" t="str">
            <v>pcs</v>
          </cell>
          <cell r="G42">
            <v>300</v>
          </cell>
          <cell r="H42">
            <v>6.6</v>
          </cell>
          <cell r="J42">
            <v>1980</v>
          </cell>
        </row>
        <row r="43">
          <cell r="B43" t="str">
            <v>LDBA053800-0</v>
          </cell>
          <cell r="D43" t="str">
            <v xml:space="preserve"> DOOR LOWER SASH R-S500H</v>
          </cell>
          <cell r="E43" t="str">
            <v>PHC-2025100019</v>
          </cell>
          <cell r="F43" t="str">
            <v>pcs</v>
          </cell>
          <cell r="G43">
            <v>300</v>
          </cell>
          <cell r="H43">
            <v>7.61</v>
          </cell>
          <cell r="J43">
            <v>2283</v>
          </cell>
        </row>
        <row r="44">
          <cell r="B44" t="str">
            <v>LDBA061200-0</v>
          </cell>
          <cell r="D44" t="str">
            <v>DOOR LOWER SASH L</v>
          </cell>
          <cell r="E44" t="str">
            <v>PHC-2025100063
PHC-2023060092</v>
          </cell>
          <cell r="F44" t="str">
            <v>pcs</v>
          </cell>
          <cell r="G44">
            <v>323</v>
          </cell>
          <cell r="H44">
            <v>13.28</v>
          </cell>
          <cell r="J44">
            <v>4289.4399999999996</v>
          </cell>
        </row>
        <row r="45">
          <cell r="B45" t="str">
            <v>LDBA061300-0</v>
          </cell>
          <cell r="D45" t="str">
            <v xml:space="preserve"> DOOR LOWER SASH R</v>
          </cell>
          <cell r="E45" t="str">
            <v>PHC-2023060092</v>
          </cell>
          <cell r="F45" t="str">
            <v>pcs</v>
          </cell>
          <cell r="G45">
            <v>6</v>
          </cell>
          <cell r="H45">
            <v>12.36</v>
          </cell>
          <cell r="J45">
            <v>74.16</v>
          </cell>
        </row>
        <row r="46">
          <cell r="B46" t="str">
            <v>LDBA093301-0</v>
          </cell>
          <cell r="D46" t="str">
            <v>DOOR CENTER SASH</v>
          </cell>
          <cell r="E46" t="str">
            <v>PHC-2024090117</v>
          </cell>
          <cell r="F46" t="str">
            <v>pcs</v>
          </cell>
          <cell r="G46">
            <v>13</v>
          </cell>
          <cell r="H46">
            <v>4.2699999999999996</v>
          </cell>
          <cell r="J46">
            <v>55.509999999999991</v>
          </cell>
        </row>
        <row r="47">
          <cell r="B47" t="str">
            <v>LDBA053500-0</v>
          </cell>
          <cell r="D47" t="str">
            <v xml:space="preserve"> LIGHT COVER-S500H</v>
          </cell>
          <cell r="E47" t="str">
            <v>PHC-2025100019</v>
          </cell>
          <cell r="F47" t="str">
            <v>pcs</v>
          </cell>
          <cell r="G47">
            <v>300</v>
          </cell>
          <cell r="H47">
            <v>2.81</v>
          </cell>
          <cell r="J47">
            <v>843</v>
          </cell>
        </row>
        <row r="48">
          <cell r="B48" t="str">
            <v>LDBA060800-0</v>
          </cell>
          <cell r="D48" t="str">
            <v>RAIL SIDE R</v>
          </cell>
          <cell r="E48" t="str">
            <v>PHC-2025100063</v>
          </cell>
          <cell r="F48" t="str">
            <v>pcs</v>
          </cell>
          <cell r="G48">
            <v>320</v>
          </cell>
          <cell r="H48">
            <v>10.48</v>
          </cell>
          <cell r="J48">
            <v>3353.6000000000004</v>
          </cell>
        </row>
        <row r="49">
          <cell r="B49" t="str">
            <v>LDBA060501-1</v>
          </cell>
          <cell r="D49" t="str">
            <v>RAIL TOP S1200H</v>
          </cell>
          <cell r="E49" t="str">
            <v>PHC-2024070112</v>
          </cell>
          <cell r="F49" t="str">
            <v>pcs</v>
          </cell>
          <cell r="G49">
            <v>80</v>
          </cell>
          <cell r="H49">
            <v>15.07</v>
          </cell>
          <cell r="J49">
            <v>1205.5999999999999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tabSelected="1" view="pageBreakPreview" zoomScaleNormal="130" zoomScaleSheetLayoutView="100" workbookViewId="0">
      <selection sqref="A1:L4"/>
    </sheetView>
  </sheetViews>
  <sheetFormatPr defaultColWidth="9" defaultRowHeight="15"/>
  <cols>
    <col min="1" max="1" width="4.375" style="3" customWidth="1"/>
    <col min="2" max="2" width="9" style="3"/>
    <col min="3" max="3" width="6.125" style="3" customWidth="1"/>
    <col min="4" max="4" width="30.875" style="3" customWidth="1"/>
    <col min="5" max="5" width="19" style="3" customWidth="1"/>
    <col min="6" max="6" width="8" style="3" customWidth="1"/>
    <col min="7" max="7" width="10" style="3" customWidth="1"/>
    <col min="8" max="8" width="9" style="3"/>
    <col min="9" max="9" width="2.375" style="3" customWidth="1"/>
    <col min="10" max="10" width="9.875" style="3" customWidth="1"/>
    <col min="11" max="11" width="17.375" style="3" customWidth="1"/>
    <col min="12" max="12" width="4.125" style="3" customWidth="1"/>
    <col min="13" max="16384" width="9" style="3"/>
  </cols>
  <sheetData>
    <row r="1" spans="1:12" ht="13.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2" ht="7.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1:12" ht="3.75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</row>
    <row r="4" spans="1:12" ht="5.4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>
      <c r="H5" s="41" t="s">
        <v>78</v>
      </c>
    </row>
    <row r="6" spans="1:12" ht="15.75" thickBot="1"/>
    <row r="7" spans="1:12">
      <c r="A7" s="5" t="s">
        <v>1</v>
      </c>
      <c r="B7" s="6"/>
      <c r="C7" s="6"/>
      <c r="D7" s="6"/>
      <c r="E7" s="6"/>
      <c r="F7" s="6"/>
      <c r="G7" s="26"/>
      <c r="H7" s="147" t="s">
        <v>79</v>
      </c>
      <c r="I7" s="148"/>
      <c r="J7" s="148"/>
      <c r="K7" s="149"/>
    </row>
    <row r="8" spans="1:12" ht="7.5" customHeight="1">
      <c r="A8" s="7"/>
      <c r="G8" s="27"/>
      <c r="H8" s="150"/>
      <c r="I8" s="151"/>
      <c r="J8" s="151"/>
      <c r="K8" s="152"/>
    </row>
    <row r="9" spans="1:12" ht="13.5" customHeight="1">
      <c r="A9" s="25" t="s">
        <v>2</v>
      </c>
      <c r="B9" s="2"/>
      <c r="C9" s="2"/>
      <c r="D9" s="2"/>
      <c r="E9" s="2"/>
      <c r="F9" s="2"/>
      <c r="G9" s="28"/>
      <c r="H9" s="150"/>
      <c r="I9" s="151"/>
      <c r="J9" s="151"/>
      <c r="K9" s="152"/>
    </row>
    <row r="10" spans="1:12" ht="13.5" customHeight="1">
      <c r="A10" s="23" t="s">
        <v>3</v>
      </c>
      <c r="B10" s="1"/>
      <c r="C10" s="1"/>
      <c r="D10" s="1"/>
      <c r="E10" s="1"/>
      <c r="F10" s="1"/>
      <c r="G10" s="24"/>
      <c r="H10" s="153" t="s">
        <v>4</v>
      </c>
      <c r="I10" s="154"/>
      <c r="J10" s="157" t="s">
        <v>5</v>
      </c>
      <c r="K10" s="158"/>
    </row>
    <row r="11" spans="1:12" ht="24" customHeight="1">
      <c r="A11" s="23" t="s">
        <v>67</v>
      </c>
      <c r="B11" s="1"/>
      <c r="C11" s="1"/>
      <c r="D11" s="1"/>
      <c r="E11" s="1"/>
      <c r="F11" s="1"/>
      <c r="G11" s="24"/>
      <c r="H11" s="155"/>
      <c r="I11" s="156"/>
      <c r="J11" s="159"/>
      <c r="K11" s="160"/>
    </row>
    <row r="12" spans="1:12">
      <c r="A12" s="23" t="s">
        <v>6</v>
      </c>
      <c r="B12" s="1"/>
      <c r="C12" s="1"/>
      <c r="D12" s="1"/>
      <c r="E12" s="1"/>
      <c r="F12" s="165"/>
      <c r="G12" s="166"/>
      <c r="H12" s="161" t="s">
        <v>7</v>
      </c>
      <c r="I12" s="162"/>
      <c r="J12" s="163" t="s">
        <v>8</v>
      </c>
      <c r="K12" s="164"/>
    </row>
    <row r="13" spans="1:12">
      <c r="A13" s="23" t="s">
        <v>9</v>
      </c>
      <c r="B13" s="1"/>
      <c r="F13" s="126"/>
      <c r="G13" s="167"/>
      <c r="H13" s="138" t="s">
        <v>42</v>
      </c>
      <c r="I13" s="139"/>
      <c r="J13" s="139"/>
      <c r="K13" s="140"/>
    </row>
    <row r="14" spans="1:12" ht="3" customHeight="1">
      <c r="A14" s="8"/>
      <c r="B14" s="9"/>
      <c r="C14" s="9"/>
      <c r="D14" s="9"/>
      <c r="E14" s="9"/>
      <c r="F14" s="29"/>
      <c r="G14" s="30"/>
      <c r="H14" s="170" t="s">
        <v>11</v>
      </c>
      <c r="I14" s="171"/>
      <c r="J14" s="171"/>
      <c r="K14" s="172"/>
    </row>
    <row r="15" spans="1:12" ht="18" customHeight="1">
      <c r="A15" s="10" t="s">
        <v>12</v>
      </c>
      <c r="B15" s="11"/>
      <c r="C15" s="11"/>
      <c r="D15" s="11"/>
      <c r="E15" s="11"/>
      <c r="F15" s="11"/>
      <c r="G15" s="31"/>
      <c r="H15" s="143"/>
      <c r="I15" s="173"/>
      <c r="J15" s="173"/>
      <c r="K15" s="174"/>
    </row>
    <row r="16" spans="1:12" ht="13.5" hidden="1" customHeight="1">
      <c r="A16" s="12"/>
      <c r="G16" s="27"/>
      <c r="H16" s="143"/>
      <c r="I16" s="173"/>
      <c r="J16" s="173"/>
      <c r="K16" s="174"/>
    </row>
    <row r="17" spans="1:11" ht="3.75" customHeight="1">
      <c r="A17" s="12"/>
      <c r="G17" s="27"/>
      <c r="H17" s="143"/>
      <c r="I17" s="173"/>
      <c r="J17" s="173"/>
      <c r="K17" s="174"/>
    </row>
    <row r="18" spans="1:11" ht="20.25">
      <c r="A18" s="34" t="s">
        <v>13</v>
      </c>
      <c r="B18" s="1"/>
      <c r="C18" s="1"/>
      <c r="D18" s="1"/>
      <c r="E18" s="1"/>
      <c r="G18" s="27"/>
      <c r="H18" s="145"/>
      <c r="I18" s="175"/>
      <c r="J18" s="175"/>
      <c r="K18" s="176"/>
    </row>
    <row r="19" spans="1:11">
      <c r="A19" s="40" t="s">
        <v>59</v>
      </c>
      <c r="B19" s="1"/>
      <c r="C19" s="1"/>
      <c r="D19" s="1"/>
      <c r="E19" s="1"/>
      <c r="G19" s="27"/>
      <c r="H19" s="32" t="s">
        <v>14</v>
      </c>
      <c r="K19" s="13"/>
    </row>
    <row r="20" spans="1:11">
      <c r="A20" s="40"/>
      <c r="B20" s="1"/>
      <c r="C20" s="1"/>
      <c r="D20" s="1"/>
      <c r="E20" s="1"/>
      <c r="G20" s="27"/>
      <c r="H20" s="32"/>
      <c r="K20" s="13"/>
    </row>
    <row r="21" spans="1:11" ht="15" customHeight="1">
      <c r="A21" s="23" t="s">
        <v>41</v>
      </c>
      <c r="B21" s="1"/>
      <c r="C21" s="1"/>
      <c r="D21" s="45"/>
      <c r="E21" s="45"/>
      <c r="F21" s="168"/>
      <c r="G21" s="169"/>
      <c r="H21" s="113" t="s">
        <v>61</v>
      </c>
      <c r="I21" s="114" t="s">
        <v>62</v>
      </c>
      <c r="K21" s="13"/>
    </row>
    <row r="22" spans="1:11" ht="15" customHeight="1">
      <c r="A22" s="23" t="s">
        <v>60</v>
      </c>
      <c r="B22" s="1"/>
      <c r="C22" s="1"/>
      <c r="D22" s="45"/>
      <c r="E22" s="45"/>
      <c r="F22" s="168"/>
      <c r="G22" s="169"/>
      <c r="H22" s="115"/>
      <c r="I22" s="114" t="s">
        <v>63</v>
      </c>
      <c r="K22" s="13"/>
    </row>
    <row r="23" spans="1:11">
      <c r="A23" s="16"/>
      <c r="B23" s="17"/>
      <c r="C23" s="193"/>
      <c r="D23" s="193"/>
      <c r="E23" s="193"/>
      <c r="F23" s="193"/>
      <c r="G23" s="30"/>
      <c r="K23" s="13"/>
    </row>
    <row r="24" spans="1:11">
      <c r="A24" s="194" t="s">
        <v>15</v>
      </c>
      <c r="B24" s="195"/>
      <c r="C24" s="195"/>
      <c r="D24" s="195"/>
      <c r="E24" s="195"/>
      <c r="F24" s="195"/>
      <c r="G24" s="196"/>
      <c r="H24" s="115"/>
      <c r="I24" s="53" t="s">
        <v>64</v>
      </c>
      <c r="K24" s="13"/>
    </row>
    <row r="25" spans="1:11">
      <c r="A25" s="197" t="s">
        <v>68</v>
      </c>
      <c r="B25" s="198"/>
      <c r="C25" s="198"/>
      <c r="D25" s="198"/>
      <c r="E25" s="198"/>
      <c r="F25" s="198"/>
      <c r="G25" s="199"/>
      <c r="H25" s="115"/>
      <c r="I25" s="53" t="s">
        <v>65</v>
      </c>
      <c r="K25" s="13"/>
    </row>
    <row r="26" spans="1:11">
      <c r="A26" s="177" t="s">
        <v>16</v>
      </c>
      <c r="B26" s="178"/>
      <c r="C26" s="178"/>
      <c r="D26" s="178"/>
      <c r="E26" s="178"/>
      <c r="F26" s="178"/>
      <c r="G26" s="178"/>
      <c r="H26" s="115"/>
      <c r="I26" s="53" t="s">
        <v>66</v>
      </c>
      <c r="K26" s="13"/>
    </row>
    <row r="27" spans="1:11" ht="15" customHeight="1" thickBot="1">
      <c r="A27" s="179" t="s">
        <v>17</v>
      </c>
      <c r="B27" s="180"/>
      <c r="C27" s="180"/>
      <c r="D27" s="180"/>
      <c r="E27" s="180"/>
      <c r="F27" s="180"/>
      <c r="G27" s="181"/>
      <c r="H27" s="42"/>
      <c r="I27" s="4"/>
      <c r="J27" s="4"/>
      <c r="K27" s="14"/>
    </row>
    <row r="28" spans="1:11" ht="15.75" thickBot="1">
      <c r="H28" s="43"/>
    </row>
    <row r="29" spans="1:11" ht="6" customHeight="1">
      <c r="A29" s="182" t="s">
        <v>18</v>
      </c>
      <c r="B29" s="183"/>
      <c r="C29" s="183"/>
      <c r="D29" s="186" t="s">
        <v>19</v>
      </c>
      <c r="E29" s="186" t="s">
        <v>20</v>
      </c>
      <c r="F29" s="190" t="s">
        <v>21</v>
      </c>
      <c r="G29" s="188" t="s">
        <v>22</v>
      </c>
      <c r="H29" s="141" t="s">
        <v>56</v>
      </c>
      <c r="I29" s="142"/>
      <c r="J29" s="200" t="s">
        <v>57</v>
      </c>
      <c r="K29" s="201"/>
    </row>
    <row r="30" spans="1:11" ht="9.75" customHeight="1">
      <c r="A30" s="184"/>
      <c r="B30" s="185"/>
      <c r="C30" s="185"/>
      <c r="D30" s="187"/>
      <c r="E30" s="187"/>
      <c r="F30" s="191"/>
      <c r="G30" s="185"/>
      <c r="H30" s="143"/>
      <c r="I30" s="144"/>
      <c r="J30" s="185"/>
      <c r="K30" s="202"/>
    </row>
    <row r="31" spans="1:11" ht="9.75" customHeight="1">
      <c r="A31" s="184"/>
      <c r="B31" s="185"/>
      <c r="C31" s="185"/>
      <c r="D31" s="187"/>
      <c r="E31" s="187"/>
      <c r="F31" s="191"/>
      <c r="G31" s="185"/>
      <c r="H31" s="143"/>
      <c r="I31" s="144"/>
      <c r="J31" s="185"/>
      <c r="K31" s="202"/>
    </row>
    <row r="32" spans="1:11" ht="21" customHeight="1">
      <c r="A32" s="184"/>
      <c r="B32" s="185"/>
      <c r="C32" s="185"/>
      <c r="D32" s="204"/>
      <c r="E32" s="187"/>
      <c r="F32" s="192"/>
      <c r="G32" s="189"/>
      <c r="H32" s="145"/>
      <c r="I32" s="146"/>
      <c r="J32" s="189"/>
      <c r="K32" s="203"/>
    </row>
    <row r="33" spans="1:11" ht="27.2" customHeight="1">
      <c r="A33" s="47">
        <v>1</v>
      </c>
      <c r="B33" s="133" t="s">
        <v>50</v>
      </c>
      <c r="C33" s="134"/>
      <c r="D33" s="50" t="e">
        <f>VLOOKUP(B33,#REF!,2,FALSE)</f>
        <v>#REF!</v>
      </c>
      <c r="E33" s="56" t="s">
        <v>70</v>
      </c>
      <c r="F33" s="51" t="e">
        <f>VLOOKUP(B33,#REF!,13,FALSE)</f>
        <v>#REF!</v>
      </c>
      <c r="G33" s="52">
        <v>300</v>
      </c>
      <c r="H33" s="135" t="e">
        <f>VLOOKUP(B33,#REF!,3,FALSE)</f>
        <v>#REF!</v>
      </c>
      <c r="I33" s="135"/>
      <c r="J33" s="135" t="e">
        <f t="shared" ref="J33" si="0">H33*G33</f>
        <v>#REF!</v>
      </c>
      <c r="K33" s="136"/>
    </row>
    <row r="34" spans="1:11" ht="27.2" customHeight="1">
      <c r="A34" s="47">
        <f>A33+1</f>
        <v>2</v>
      </c>
      <c r="B34" s="133" t="s">
        <v>51</v>
      </c>
      <c r="C34" s="134"/>
      <c r="D34" s="50" t="e">
        <f>VLOOKUP(B34,#REF!,2,FALSE)</f>
        <v>#REF!</v>
      </c>
      <c r="E34" s="56" t="s">
        <v>70</v>
      </c>
      <c r="F34" s="51" t="e">
        <f>VLOOKUP(B34,#REF!,13,FALSE)</f>
        <v>#REF!</v>
      </c>
      <c r="G34" s="52">
        <v>300</v>
      </c>
      <c r="H34" s="135" t="e">
        <f>VLOOKUP(B34,#REF!,3,FALSE)</f>
        <v>#REF!</v>
      </c>
      <c r="I34" s="135"/>
      <c r="J34" s="135" t="e">
        <f t="shared" ref="J34:J40" si="1">H34*G34</f>
        <v>#REF!</v>
      </c>
      <c r="K34" s="136"/>
    </row>
    <row r="35" spans="1:11" ht="25.5" customHeight="1">
      <c r="A35" s="47">
        <f t="shared" ref="A35:A50" si="2">A34+1</f>
        <v>3</v>
      </c>
      <c r="B35" s="133" t="s">
        <v>48</v>
      </c>
      <c r="C35" s="134"/>
      <c r="D35" s="50" t="e">
        <f>VLOOKUP(B35,#REF!,2,FALSE)</f>
        <v>#REF!</v>
      </c>
      <c r="E35" s="56" t="s">
        <v>71</v>
      </c>
      <c r="F35" s="51" t="e">
        <f>VLOOKUP(B35,#REF!,13,FALSE)</f>
        <v>#REF!</v>
      </c>
      <c r="G35" s="52">
        <v>329</v>
      </c>
      <c r="H35" s="135" t="e">
        <f>VLOOKUP(B35,#REF!,3,FALSE)</f>
        <v>#REF!</v>
      </c>
      <c r="I35" s="135"/>
      <c r="J35" s="135" t="e">
        <f t="shared" si="1"/>
        <v>#REF!</v>
      </c>
      <c r="K35" s="136"/>
    </row>
    <row r="36" spans="1:11" ht="28.5" customHeight="1">
      <c r="A36" s="47">
        <f t="shared" si="2"/>
        <v>4</v>
      </c>
      <c r="B36" s="133" t="s">
        <v>49</v>
      </c>
      <c r="C36" s="134"/>
      <c r="D36" s="50" t="e">
        <f>VLOOKUP(B36,#REF!,2,FALSE)</f>
        <v>#REF!</v>
      </c>
      <c r="E36" s="56" t="s">
        <v>71</v>
      </c>
      <c r="F36" s="51" t="e">
        <f>VLOOKUP(B36,#REF!,13,FALSE)</f>
        <v>#REF!</v>
      </c>
      <c r="G36" s="52">
        <v>331</v>
      </c>
      <c r="H36" s="135" t="e">
        <f>VLOOKUP(B36,#REF!,3,FALSE)</f>
        <v>#REF!</v>
      </c>
      <c r="I36" s="135"/>
      <c r="J36" s="135" t="e">
        <f t="shared" si="1"/>
        <v>#REF!</v>
      </c>
      <c r="K36" s="136"/>
    </row>
    <row r="37" spans="1:11" ht="32.25" customHeight="1">
      <c r="A37" s="47">
        <f t="shared" si="2"/>
        <v>5</v>
      </c>
      <c r="B37" s="133" t="s">
        <v>58</v>
      </c>
      <c r="C37" s="134"/>
      <c r="D37" s="50" t="e">
        <f>VLOOKUP(B37,#REF!,2,FALSE)</f>
        <v>#REF!</v>
      </c>
      <c r="E37" s="56" t="s">
        <v>72</v>
      </c>
      <c r="F37" s="51" t="e">
        <f>VLOOKUP(B37,#REF!,13,FALSE)</f>
        <v>#REF!</v>
      </c>
      <c r="G37" s="52">
        <v>640</v>
      </c>
      <c r="H37" s="135" t="e">
        <f>VLOOKUP(B37,#REF!,3,FALSE)</f>
        <v>#REF!</v>
      </c>
      <c r="I37" s="135"/>
      <c r="J37" s="135" t="e">
        <f t="shared" si="1"/>
        <v>#REF!</v>
      </c>
      <c r="K37" s="136"/>
    </row>
    <row r="38" spans="1:11" ht="32.25" customHeight="1">
      <c r="A38" s="47">
        <f t="shared" si="2"/>
        <v>6</v>
      </c>
      <c r="B38" s="133" t="s">
        <v>45</v>
      </c>
      <c r="C38" s="134"/>
      <c r="D38" s="50" t="e">
        <f>VLOOKUP(B38,#REF!,2,FALSE)</f>
        <v>#REF!</v>
      </c>
      <c r="E38" s="56" t="s">
        <v>71</v>
      </c>
      <c r="F38" s="51" t="e">
        <f>VLOOKUP(B38,#REF!,13,FALSE)</f>
        <v>#REF!</v>
      </c>
      <c r="G38" s="52">
        <v>300</v>
      </c>
      <c r="H38" s="135" t="e">
        <f>VLOOKUP(B38,#REF!,3,FALSE)</f>
        <v>#REF!</v>
      </c>
      <c r="I38" s="135"/>
      <c r="J38" s="135" t="e">
        <f t="shared" si="1"/>
        <v>#REF!</v>
      </c>
      <c r="K38" s="136"/>
    </row>
    <row r="39" spans="1:11" ht="26.25" customHeight="1">
      <c r="A39" s="47">
        <f t="shared" si="2"/>
        <v>7</v>
      </c>
      <c r="B39" s="133" t="s">
        <v>46</v>
      </c>
      <c r="C39" s="134"/>
      <c r="D39" s="50" t="e">
        <f>VLOOKUP(B39,#REF!,2,FALSE)</f>
        <v>#REF!</v>
      </c>
      <c r="E39" s="56" t="s">
        <v>70</v>
      </c>
      <c r="F39" s="51" t="e">
        <f>VLOOKUP(B39,#REF!,13,FALSE)</f>
        <v>#REF!</v>
      </c>
      <c r="G39" s="52">
        <v>300</v>
      </c>
      <c r="H39" s="135" t="e">
        <f>VLOOKUP(B39,#REF!,3,FALSE)</f>
        <v>#REF!</v>
      </c>
      <c r="I39" s="135"/>
      <c r="J39" s="135" t="e">
        <f t="shared" si="1"/>
        <v>#REF!</v>
      </c>
      <c r="K39" s="136"/>
    </row>
    <row r="40" spans="1:11" ht="26.25" customHeight="1">
      <c r="A40" s="47">
        <f t="shared" si="2"/>
        <v>8</v>
      </c>
      <c r="B40" s="133" t="s">
        <v>44</v>
      </c>
      <c r="C40" s="134"/>
      <c r="D40" s="50" t="e">
        <f>VLOOKUP(B40,#REF!,2,FALSE)</f>
        <v>#REF!</v>
      </c>
      <c r="E40" s="56" t="s">
        <v>71</v>
      </c>
      <c r="F40" s="51" t="e">
        <f>VLOOKUP(B40,#REF!,13,FALSE)</f>
        <v>#REF!</v>
      </c>
      <c r="G40" s="52">
        <v>300</v>
      </c>
      <c r="H40" s="135" t="e">
        <f>VLOOKUP(B40,#REF!,3,FALSE)</f>
        <v>#REF!</v>
      </c>
      <c r="I40" s="135"/>
      <c r="J40" s="135" t="e">
        <f t="shared" si="1"/>
        <v>#REF!</v>
      </c>
      <c r="K40" s="136"/>
    </row>
    <row r="41" spans="1:11" ht="26.25" customHeight="1">
      <c r="A41" s="47">
        <f t="shared" si="2"/>
        <v>9</v>
      </c>
      <c r="B41" s="133" t="s">
        <v>43</v>
      </c>
      <c r="C41" s="134"/>
      <c r="D41" s="50" t="e">
        <f>VLOOKUP(B41,#REF!,2,FALSE)</f>
        <v>#REF!</v>
      </c>
      <c r="E41" s="56" t="s">
        <v>71</v>
      </c>
      <c r="F41" s="51" t="e">
        <f>VLOOKUP(B41,#REF!,13,FALSE)</f>
        <v>#REF!</v>
      </c>
      <c r="G41" s="52">
        <v>300</v>
      </c>
      <c r="H41" s="135" t="e">
        <f>VLOOKUP(B41,#REF!,3,FALSE)</f>
        <v>#REF!</v>
      </c>
      <c r="I41" s="135"/>
      <c r="J41" s="135" t="e">
        <f t="shared" ref="J41:J43" si="3">H41*G41</f>
        <v>#REF!</v>
      </c>
      <c r="K41" s="136"/>
    </row>
    <row r="42" spans="1:11" ht="26.25" customHeight="1">
      <c r="A42" s="47">
        <f t="shared" si="2"/>
        <v>10</v>
      </c>
      <c r="B42" s="133" t="s">
        <v>24</v>
      </c>
      <c r="C42" s="134"/>
      <c r="D42" s="50" t="e">
        <f>VLOOKUP(B42,#REF!,2,FALSE)</f>
        <v>#REF!</v>
      </c>
      <c r="E42" s="56" t="s">
        <v>71</v>
      </c>
      <c r="F42" s="51" t="e">
        <f>VLOOKUP(B42,#REF!,13,FALSE)</f>
        <v>#REF!</v>
      </c>
      <c r="G42" s="52">
        <v>300</v>
      </c>
      <c r="H42" s="135" t="e">
        <f>VLOOKUP(B42,#REF!,3,FALSE)</f>
        <v>#REF!</v>
      </c>
      <c r="I42" s="135"/>
      <c r="J42" s="135" t="e">
        <f t="shared" si="3"/>
        <v>#REF!</v>
      </c>
      <c r="K42" s="136"/>
    </row>
    <row r="43" spans="1:11" ht="26.25" customHeight="1">
      <c r="A43" s="47">
        <f t="shared" si="2"/>
        <v>11</v>
      </c>
      <c r="B43" s="133" t="s">
        <v>25</v>
      </c>
      <c r="C43" s="134"/>
      <c r="D43" s="50" t="e">
        <f>VLOOKUP(B43,#REF!,2,FALSE)</f>
        <v>#REF!</v>
      </c>
      <c r="E43" s="56" t="s">
        <v>71</v>
      </c>
      <c r="F43" s="51" t="e">
        <f>VLOOKUP(B43,#REF!,13,FALSE)</f>
        <v>#REF!</v>
      </c>
      <c r="G43" s="52">
        <v>300</v>
      </c>
      <c r="H43" s="135" t="e">
        <f>VLOOKUP(B43,#REF!,3,FALSE)</f>
        <v>#REF!</v>
      </c>
      <c r="I43" s="135"/>
      <c r="J43" s="135" t="e">
        <f t="shared" si="3"/>
        <v>#REF!</v>
      </c>
      <c r="K43" s="136"/>
    </row>
    <row r="44" spans="1:11" ht="31.5" customHeight="1">
      <c r="A44" s="47">
        <f t="shared" si="2"/>
        <v>12</v>
      </c>
      <c r="B44" s="133" t="s">
        <v>53</v>
      </c>
      <c r="C44" s="134"/>
      <c r="D44" s="50" t="e">
        <f>VLOOKUP(B44,#REF!,2,FALSE)</f>
        <v>#REF!</v>
      </c>
      <c r="E44" s="56" t="s">
        <v>74</v>
      </c>
      <c r="F44" s="51" t="e">
        <f>VLOOKUP(B44,#REF!,13,FALSE)</f>
        <v>#REF!</v>
      </c>
      <c r="G44" s="52">
        <v>323</v>
      </c>
      <c r="H44" s="135" t="e">
        <f>VLOOKUP(B44,#REF!,3,FALSE)</f>
        <v>#REF!</v>
      </c>
      <c r="I44" s="135"/>
      <c r="J44" s="135" t="e">
        <f t="shared" ref="J44:J45" si="4">H44*G44</f>
        <v>#REF!</v>
      </c>
      <c r="K44" s="136"/>
    </row>
    <row r="45" spans="1:11" ht="26.25" customHeight="1">
      <c r="A45" s="47">
        <f t="shared" si="2"/>
        <v>13</v>
      </c>
      <c r="B45" s="133" t="s">
        <v>54</v>
      </c>
      <c r="C45" s="134"/>
      <c r="D45" s="50" t="e">
        <f>VLOOKUP(B45,#REF!,2,FALSE)</f>
        <v>#REF!</v>
      </c>
      <c r="E45" s="56" t="s">
        <v>75</v>
      </c>
      <c r="F45" s="51" t="e">
        <f>VLOOKUP(B45,#REF!,13,FALSE)</f>
        <v>#REF!</v>
      </c>
      <c r="G45" s="52">
        <v>6</v>
      </c>
      <c r="H45" s="135" t="e">
        <f>VLOOKUP(B45,#REF!,3,FALSE)</f>
        <v>#REF!</v>
      </c>
      <c r="I45" s="135"/>
      <c r="J45" s="135" t="e">
        <f t="shared" si="4"/>
        <v>#REF!</v>
      </c>
      <c r="K45" s="136"/>
    </row>
    <row r="46" spans="1:11" ht="26.25" customHeight="1">
      <c r="A46" s="47">
        <f t="shared" si="2"/>
        <v>14</v>
      </c>
      <c r="B46" s="133" t="s">
        <v>69</v>
      </c>
      <c r="C46" s="134"/>
      <c r="D46" s="50" t="e">
        <f>VLOOKUP(B46,#REF!,2,FALSE)</f>
        <v>#REF!</v>
      </c>
      <c r="E46" s="56" t="s">
        <v>77</v>
      </c>
      <c r="F46" s="51" t="e">
        <f>VLOOKUP(B46,#REF!,13,FALSE)</f>
        <v>#REF!</v>
      </c>
      <c r="G46" s="52">
        <v>13</v>
      </c>
      <c r="H46" s="135" t="e">
        <f>VLOOKUP(B46,#REF!,3,FALSE)</f>
        <v>#REF!</v>
      </c>
      <c r="I46" s="135"/>
      <c r="J46" s="135" t="e">
        <f t="shared" ref="J46" si="5">H46*G46</f>
        <v>#REF!</v>
      </c>
      <c r="K46" s="136"/>
    </row>
    <row r="47" spans="1:11" ht="26.25" customHeight="1">
      <c r="A47" s="47">
        <f t="shared" si="2"/>
        <v>15</v>
      </c>
      <c r="B47" s="133" t="s">
        <v>23</v>
      </c>
      <c r="C47" s="134"/>
      <c r="D47" s="50" t="e">
        <f>VLOOKUP(B47,#REF!,2,FALSE)</f>
        <v>#REF!</v>
      </c>
      <c r="E47" s="56" t="s">
        <v>71</v>
      </c>
      <c r="F47" s="51" t="e">
        <f>VLOOKUP(B47,#REF!,13,FALSE)</f>
        <v>#REF!</v>
      </c>
      <c r="G47" s="52">
        <v>300</v>
      </c>
      <c r="H47" s="135" t="e">
        <f>VLOOKUP(B47,#REF!,3,FALSE)</f>
        <v>#REF!</v>
      </c>
      <c r="I47" s="135"/>
      <c r="J47" s="135" t="e">
        <f t="shared" ref="J47" si="6">H47*G47</f>
        <v>#REF!</v>
      </c>
      <c r="K47" s="136"/>
    </row>
    <row r="48" spans="1:11" ht="30.75" customHeight="1">
      <c r="A48" s="47">
        <f t="shared" si="2"/>
        <v>16</v>
      </c>
      <c r="B48" s="133" t="s">
        <v>52</v>
      </c>
      <c r="C48" s="134"/>
      <c r="D48" s="50" t="e">
        <f>VLOOKUP(B48,#REF!,2,FALSE)</f>
        <v>#REF!</v>
      </c>
      <c r="E48" s="56" t="s">
        <v>73</v>
      </c>
      <c r="F48" s="51" t="e">
        <f>VLOOKUP(B48,#REF!,13,FALSE)</f>
        <v>#REF!</v>
      </c>
      <c r="G48" s="52">
        <v>320</v>
      </c>
      <c r="H48" s="135" t="e">
        <f>VLOOKUP(B48,#REF!,3,FALSE)</f>
        <v>#REF!</v>
      </c>
      <c r="I48" s="135"/>
      <c r="J48" s="135" t="e">
        <f t="shared" ref="J48:J49" si="7">H48*G48</f>
        <v>#REF!</v>
      </c>
      <c r="K48" s="136"/>
    </row>
    <row r="49" spans="1:11" ht="30.75" customHeight="1">
      <c r="A49" s="47">
        <f t="shared" si="2"/>
        <v>17</v>
      </c>
      <c r="B49" s="133" t="s">
        <v>55</v>
      </c>
      <c r="C49" s="134"/>
      <c r="D49" s="50" t="e">
        <f>VLOOKUP(B49,#REF!,2,FALSE)</f>
        <v>#REF!</v>
      </c>
      <c r="E49" s="56" t="s">
        <v>76</v>
      </c>
      <c r="F49" s="51" t="e">
        <f>VLOOKUP(B49,#REF!,13,FALSE)</f>
        <v>#REF!</v>
      </c>
      <c r="G49" s="52">
        <v>80</v>
      </c>
      <c r="H49" s="135" t="e">
        <f>VLOOKUP(B49,#REF!,3,FALSE)</f>
        <v>#REF!</v>
      </c>
      <c r="I49" s="135"/>
      <c r="J49" s="135" t="e">
        <f t="shared" si="7"/>
        <v>#REF!</v>
      </c>
      <c r="K49" s="136"/>
    </row>
    <row r="50" spans="1:11" ht="30.75" customHeight="1">
      <c r="A50" s="47">
        <f t="shared" si="2"/>
        <v>18</v>
      </c>
      <c r="B50" s="133"/>
      <c r="C50" s="134"/>
      <c r="D50" s="50"/>
      <c r="E50" s="56"/>
      <c r="F50" s="51"/>
      <c r="G50" s="52"/>
      <c r="H50" s="135"/>
      <c r="I50" s="135"/>
      <c r="J50" s="135"/>
      <c r="K50" s="136"/>
    </row>
    <row r="51" spans="1:11" ht="24.75" customHeight="1" thickBot="1">
      <c r="A51" s="130" t="s">
        <v>26</v>
      </c>
      <c r="B51" s="131"/>
      <c r="C51" s="131"/>
      <c r="D51" s="131"/>
      <c r="E51" s="131"/>
      <c r="F51" s="131"/>
      <c r="G51" s="131"/>
      <c r="H51" s="131"/>
      <c r="I51" s="132"/>
      <c r="J51" s="127" t="e">
        <f>SUM(J33:K50)</f>
        <v>#REF!</v>
      </c>
      <c r="K51" s="128"/>
    </row>
    <row r="52" spans="1:11" ht="13.5" customHeight="1"/>
    <row r="53" spans="1:11" ht="24.75" customHeight="1">
      <c r="A53" s="129" t="s">
        <v>27</v>
      </c>
      <c r="B53" s="129"/>
      <c r="C53" s="129"/>
      <c r="D53" s="129"/>
      <c r="E53" s="129"/>
      <c r="H53" s="126" t="s">
        <v>28</v>
      </c>
      <c r="I53" s="126"/>
      <c r="J53" s="126"/>
      <c r="K53" s="33"/>
    </row>
    <row r="54" spans="1:11" ht="20.100000000000001" customHeight="1">
      <c r="A54" s="49" t="s">
        <v>29</v>
      </c>
      <c r="B54" s="49"/>
      <c r="C54" s="49"/>
      <c r="D54" s="49"/>
      <c r="E54" s="48"/>
      <c r="F54" s="15"/>
      <c r="G54" s="15"/>
      <c r="H54" s="15"/>
      <c r="I54" s="15"/>
    </row>
    <row r="55" spans="1:11" ht="93.75" customHeight="1">
      <c r="A55" s="15"/>
      <c r="B55" s="15"/>
      <c r="C55" s="15"/>
      <c r="D55" s="46"/>
      <c r="E55" s="46"/>
      <c r="F55" s="15"/>
      <c r="G55" s="15"/>
      <c r="H55" s="15"/>
      <c r="I55" s="15"/>
    </row>
    <row r="56" spans="1:11" ht="65.25" customHeight="1">
      <c r="A56" s="15"/>
      <c r="B56" s="15"/>
      <c r="C56" s="15"/>
      <c r="D56" s="48"/>
      <c r="E56" s="48"/>
      <c r="F56" s="15"/>
      <c r="G56" s="15"/>
      <c r="H56" s="15"/>
      <c r="I56" s="15"/>
    </row>
  </sheetData>
  <mergeCells count="82">
    <mergeCell ref="J46:K46"/>
    <mergeCell ref="B47:C47"/>
    <mergeCell ref="H47:I47"/>
    <mergeCell ref="J47:K47"/>
    <mergeCell ref="J41:K41"/>
    <mergeCell ref="J42:K42"/>
    <mergeCell ref="J43:K43"/>
    <mergeCell ref="J44:K44"/>
    <mergeCell ref="J45:K45"/>
    <mergeCell ref="H45:I45"/>
    <mergeCell ref="H46:I46"/>
    <mergeCell ref="J48:K48"/>
    <mergeCell ref="B39:C39"/>
    <mergeCell ref="H39:I39"/>
    <mergeCell ref="J39:K39"/>
    <mergeCell ref="H48:I48"/>
    <mergeCell ref="B48:C48"/>
    <mergeCell ref="B41:C41"/>
    <mergeCell ref="B42:C42"/>
    <mergeCell ref="B43:C43"/>
    <mergeCell ref="B44:C44"/>
    <mergeCell ref="B45:C45"/>
    <mergeCell ref="B46:C46"/>
    <mergeCell ref="H41:I41"/>
    <mergeCell ref="H42:I42"/>
    <mergeCell ref="H43:I43"/>
    <mergeCell ref="H44:I44"/>
    <mergeCell ref="B38:C38"/>
    <mergeCell ref="J34:K34"/>
    <mergeCell ref="J38:K38"/>
    <mergeCell ref="B40:C40"/>
    <mergeCell ref="B34:C34"/>
    <mergeCell ref="H38:I38"/>
    <mergeCell ref="H40:I40"/>
    <mergeCell ref="J40:K40"/>
    <mergeCell ref="H36:I36"/>
    <mergeCell ref="B35:C35"/>
    <mergeCell ref="B36:C36"/>
    <mergeCell ref="J37:K37"/>
    <mergeCell ref="B37:C37"/>
    <mergeCell ref="H37:I37"/>
    <mergeCell ref="J36:K36"/>
    <mergeCell ref="J35:K35"/>
    <mergeCell ref="C23:F23"/>
    <mergeCell ref="A24:G24"/>
    <mergeCell ref="A25:G25"/>
    <mergeCell ref="J29:K32"/>
    <mergeCell ref="B33:C33"/>
    <mergeCell ref="D29:D32"/>
    <mergeCell ref="H35:I35"/>
    <mergeCell ref="H33:I33"/>
    <mergeCell ref="J33:K33"/>
    <mergeCell ref="E29:E32"/>
    <mergeCell ref="G29:G32"/>
    <mergeCell ref="F29:F32"/>
    <mergeCell ref="H34:I34"/>
    <mergeCell ref="A1:L4"/>
    <mergeCell ref="H13:K13"/>
    <mergeCell ref="H29:I32"/>
    <mergeCell ref="H7:K9"/>
    <mergeCell ref="H10:I11"/>
    <mergeCell ref="J10:K11"/>
    <mergeCell ref="H12:I12"/>
    <mergeCell ref="J12:K12"/>
    <mergeCell ref="F12:G12"/>
    <mergeCell ref="F13:G13"/>
    <mergeCell ref="F22:G22"/>
    <mergeCell ref="H14:K18"/>
    <mergeCell ref="F21:G21"/>
    <mergeCell ref="A26:G26"/>
    <mergeCell ref="A27:G27"/>
    <mergeCell ref="A29:C32"/>
    <mergeCell ref="H53:J53"/>
    <mergeCell ref="J51:K51"/>
    <mergeCell ref="A53:E53"/>
    <mergeCell ref="A51:I51"/>
    <mergeCell ref="B49:C49"/>
    <mergeCell ref="B50:C50"/>
    <mergeCell ref="H49:I49"/>
    <mergeCell ref="H50:I50"/>
    <mergeCell ref="J49:K49"/>
    <mergeCell ref="J50:K50"/>
  </mergeCells>
  <phoneticPr fontId="1"/>
  <dataValidations count="1">
    <dataValidation type="list" allowBlank="1" showInputMessage="1" showErrorMessage="1" sqref="B33:B50" xr:uid="{00000000-0002-0000-0000-000001000000}">
      <formula1>#REF!</formula1>
    </dataValidation>
  </dataValidations>
  <pageMargins left="0.44" right="0.16" top="0.18" bottom="0.16" header="0.2" footer="0.16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6"/>
  <sheetViews>
    <sheetView view="pageBreakPreview" zoomScaleNormal="115" zoomScaleSheetLayoutView="100" workbookViewId="0">
      <selection sqref="A1:M4"/>
    </sheetView>
  </sheetViews>
  <sheetFormatPr defaultColWidth="9" defaultRowHeight="15"/>
  <cols>
    <col min="1" max="1" width="6.375" style="22" customWidth="1"/>
    <col min="2" max="2" width="9" style="22"/>
    <col min="3" max="3" width="20.375" style="22" customWidth="1"/>
    <col min="4" max="4" width="28.875" style="22" customWidth="1"/>
    <col min="5" max="5" width="17.625" style="22" customWidth="1"/>
    <col min="6" max="6" width="6" style="22" bestFit="1" customWidth="1"/>
    <col min="7" max="7" width="10.375" style="22" customWidth="1"/>
    <col min="8" max="8" width="2.375" style="22" customWidth="1"/>
    <col min="9" max="9" width="11.375" style="22" customWidth="1"/>
    <col min="10" max="10" width="10.125" style="22" customWidth="1"/>
    <col min="11" max="11" width="13.375" style="22" customWidth="1"/>
    <col min="12" max="12" width="12.375" style="22" customWidth="1"/>
    <col min="13" max="13" width="12.5" style="22" bestFit="1" customWidth="1"/>
    <col min="14" max="14" width="7.125" style="22" bestFit="1" customWidth="1"/>
    <col min="15" max="15" width="3.875" style="22" bestFit="1" customWidth="1"/>
    <col min="16" max="16" width="4.875" style="22" bestFit="1" customWidth="1"/>
    <col min="17" max="17" width="11.625" style="22" hidden="1" customWidth="1"/>
    <col min="18" max="18" width="10.375" style="22" hidden="1" customWidth="1"/>
    <col min="19" max="19" width="0" style="22" hidden="1" customWidth="1"/>
    <col min="20" max="20" width="8.125" style="22" bestFit="1" customWidth="1"/>
    <col min="21" max="21" width="10" style="22" bestFit="1" customWidth="1"/>
    <col min="22" max="16384" width="9" style="22"/>
  </cols>
  <sheetData>
    <row r="1" spans="1:14" ht="15" customHeight="1">
      <c r="A1" s="219" t="s">
        <v>30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</row>
    <row r="2" spans="1:14" ht="9.1999999999999993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</row>
    <row r="3" spans="1:14" ht="3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 spans="1:14" ht="4.5" customHeight="1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</row>
    <row r="5" spans="1:14">
      <c r="I5" s="245" t="str">
        <f>INVOICE!H5</f>
        <v>インボイス作成日（Date): 24/11/2025</v>
      </c>
      <c r="J5" s="245"/>
      <c r="K5" s="245"/>
      <c r="L5" s="245"/>
      <c r="M5" s="245"/>
    </row>
    <row r="7" spans="1:14" ht="9.75" customHeight="1" thickBot="1"/>
    <row r="8" spans="1:14" ht="14.25" customHeight="1">
      <c r="A8" s="57" t="s">
        <v>1</v>
      </c>
      <c r="B8" s="58"/>
      <c r="C8" s="58"/>
      <c r="D8" s="58"/>
      <c r="E8" s="58"/>
      <c r="F8" s="58"/>
      <c r="G8" s="58"/>
      <c r="H8" s="59"/>
      <c r="I8" s="223" t="str">
        <f>INVOICE!H7</f>
        <v>Invoice No
[Invoice No]</v>
      </c>
      <c r="J8" s="224"/>
      <c r="K8" s="224"/>
      <c r="L8" s="224"/>
      <c r="M8" s="224"/>
    </row>
    <row r="9" spans="1:14" ht="6.75" customHeight="1">
      <c r="A9" s="61"/>
      <c r="H9" s="62"/>
      <c r="I9" s="225"/>
      <c r="J9" s="226"/>
      <c r="K9" s="226"/>
      <c r="L9" s="226"/>
      <c r="M9" s="226"/>
    </row>
    <row r="10" spans="1:14" ht="12.75" customHeight="1">
      <c r="A10" s="63" t="s">
        <v>2</v>
      </c>
      <c r="B10" s="64"/>
      <c r="C10" s="64"/>
      <c r="D10" s="64"/>
      <c r="E10" s="64"/>
      <c r="F10" s="64"/>
      <c r="G10" s="65"/>
      <c r="H10" s="62"/>
      <c r="I10" s="225"/>
      <c r="J10" s="226"/>
      <c r="K10" s="226"/>
      <c r="L10" s="226"/>
      <c r="M10" s="226"/>
    </row>
    <row r="11" spans="1:14" ht="15" customHeight="1">
      <c r="A11" s="66" t="s">
        <v>3</v>
      </c>
      <c r="B11" s="67"/>
      <c r="C11" s="67"/>
      <c r="D11" s="67"/>
      <c r="E11" s="67"/>
      <c r="F11" s="64"/>
      <c r="G11" s="68"/>
      <c r="H11" s="62"/>
      <c r="I11" s="246" t="s">
        <v>31</v>
      </c>
      <c r="J11" s="247"/>
      <c r="K11" s="248"/>
      <c r="L11" s="246" t="s">
        <v>5</v>
      </c>
      <c r="M11" s="247"/>
      <c r="N11" s="123"/>
    </row>
    <row r="12" spans="1:14">
      <c r="A12" s="66" t="s">
        <v>67</v>
      </c>
      <c r="B12" s="67"/>
      <c r="C12" s="67"/>
      <c r="D12" s="67"/>
      <c r="E12" s="67"/>
      <c r="F12" s="64"/>
      <c r="G12" s="68"/>
      <c r="H12" s="62"/>
      <c r="I12" s="249"/>
      <c r="J12" s="250"/>
      <c r="K12" s="251"/>
      <c r="L12" s="249"/>
      <c r="M12" s="250"/>
      <c r="N12" s="123"/>
    </row>
    <row r="13" spans="1:14">
      <c r="A13" s="66" t="s">
        <v>6</v>
      </c>
      <c r="B13" s="67"/>
      <c r="C13" s="67"/>
      <c r="D13" s="67"/>
      <c r="E13" s="67"/>
      <c r="F13" s="69"/>
      <c r="G13" s="70"/>
      <c r="H13" s="62"/>
      <c r="I13" s="254" t="s">
        <v>7</v>
      </c>
      <c r="J13" s="255"/>
      <c r="K13" s="256"/>
      <c r="L13" s="254" t="str">
        <f>INVOICE!J12</f>
        <v>INDONESIA</v>
      </c>
      <c r="M13" s="255"/>
      <c r="N13" s="124"/>
    </row>
    <row r="14" spans="1:14">
      <c r="A14" s="66" t="s">
        <v>9</v>
      </c>
      <c r="B14" s="67"/>
      <c r="F14" s="71"/>
      <c r="G14" s="72"/>
      <c r="H14" s="62"/>
      <c r="I14" s="227" t="s">
        <v>10</v>
      </c>
      <c r="J14" s="227"/>
      <c r="K14" s="227"/>
      <c r="L14" s="228"/>
      <c r="M14" s="228"/>
    </row>
    <row r="15" spans="1:14" ht="6" customHeight="1">
      <c r="A15" s="66"/>
      <c r="B15" s="67"/>
      <c r="F15" s="72"/>
      <c r="G15" s="72"/>
      <c r="H15" s="62"/>
      <c r="I15" s="231" t="str">
        <f>INVOICE!H14</f>
        <v>Invoice will be closed on delivery day and payment after 60days</v>
      </c>
      <c r="J15" s="232"/>
      <c r="K15" s="232"/>
      <c r="L15" s="232"/>
      <c r="M15" s="232"/>
    </row>
    <row r="16" spans="1:14" ht="9.1999999999999993" customHeight="1">
      <c r="A16" s="73"/>
      <c r="B16" s="74"/>
      <c r="C16" s="74"/>
      <c r="D16" s="74"/>
      <c r="E16" s="74"/>
      <c r="F16" s="74"/>
      <c r="G16" s="74"/>
      <c r="H16" s="75"/>
      <c r="I16" s="231"/>
      <c r="J16" s="232"/>
      <c r="K16" s="232"/>
      <c r="L16" s="232"/>
      <c r="M16" s="232"/>
    </row>
    <row r="17" spans="1:21">
      <c r="A17" s="76" t="s">
        <v>12</v>
      </c>
      <c r="B17" s="77"/>
      <c r="C17" s="77"/>
      <c r="D17" s="77"/>
      <c r="E17" s="77"/>
      <c r="F17" s="77"/>
      <c r="G17" s="77"/>
      <c r="H17" s="62"/>
      <c r="I17" s="233"/>
      <c r="J17" s="234"/>
      <c r="K17" s="234"/>
      <c r="L17" s="234"/>
      <c r="M17" s="234"/>
    </row>
    <row r="18" spans="1:21" ht="15" hidden="1" customHeight="1">
      <c r="A18" s="78"/>
      <c r="H18" s="79"/>
      <c r="I18" s="74"/>
      <c r="J18" s="74"/>
      <c r="K18" s="80"/>
      <c r="L18" s="60"/>
    </row>
    <row r="19" spans="1:21" ht="6" customHeight="1">
      <c r="A19" s="78"/>
      <c r="H19" s="62"/>
      <c r="K19" s="77"/>
    </row>
    <row r="20" spans="1:21" ht="20.25">
      <c r="A20" s="81" t="str">
        <f>INVOICE!A18</f>
        <v>PT. Sumitronics Indonesia</v>
      </c>
      <c r="B20" s="67"/>
      <c r="C20" s="67"/>
      <c r="D20" s="67"/>
      <c r="E20" s="67"/>
      <c r="H20" s="62"/>
      <c r="I20" s="22" t="s">
        <v>14</v>
      </c>
    </row>
    <row r="21" spans="1:21">
      <c r="A21" s="61" t="str">
        <f>INVOICE!A19</f>
        <v xml:space="preserve">KAWASAN INDUSTRIAL EJIP PLOT 1E-2  SUKARESMI CIKARANG SELATAN </v>
      </c>
      <c r="B21" s="67"/>
      <c r="C21" s="67"/>
      <c r="D21" s="67"/>
      <c r="E21" s="67"/>
      <c r="H21" s="62"/>
      <c r="I21" s="113" t="s">
        <v>61</v>
      </c>
      <c r="J21" s="114" t="s">
        <v>62</v>
      </c>
    </row>
    <row r="22" spans="1:21">
      <c r="A22" s="66" t="str">
        <f>IF(INVOICE!A20="","",INVOICE!A20)</f>
        <v/>
      </c>
      <c r="B22" s="67"/>
      <c r="C22" s="67"/>
      <c r="D22" s="67"/>
      <c r="E22" s="67"/>
      <c r="H22" s="62"/>
      <c r="I22" s="113"/>
      <c r="J22" s="114" t="s">
        <v>63</v>
      </c>
    </row>
    <row r="23" spans="1:21">
      <c r="A23" s="274" t="str">
        <f>INVOICE!A21</f>
        <v>TEL :62-21-8975220 ext : 252</v>
      </c>
      <c r="B23" s="275"/>
      <c r="C23" s="275"/>
      <c r="D23" s="275"/>
      <c r="E23" s="82"/>
      <c r="F23" s="69"/>
      <c r="G23" s="69"/>
      <c r="H23" s="62"/>
      <c r="I23" s="3"/>
      <c r="J23" s="3"/>
      <c r="M23" s="60"/>
    </row>
    <row r="24" spans="1:21" ht="14.25" customHeight="1">
      <c r="A24" s="229"/>
      <c r="B24" s="230"/>
      <c r="C24" s="230"/>
      <c r="D24" s="67"/>
      <c r="E24" s="67"/>
      <c r="F24" s="69"/>
      <c r="G24" s="70"/>
      <c r="H24" s="62"/>
      <c r="I24" s="113"/>
      <c r="J24" s="53" t="s">
        <v>64</v>
      </c>
      <c r="M24" s="60"/>
    </row>
    <row r="25" spans="1:21" ht="12.75" customHeight="1">
      <c r="A25" s="83"/>
      <c r="B25" s="84"/>
      <c r="C25" s="292"/>
      <c r="D25" s="292"/>
      <c r="E25" s="292"/>
      <c r="F25" s="292"/>
      <c r="G25" s="74"/>
      <c r="H25" s="75"/>
      <c r="I25" s="113"/>
      <c r="J25" s="53" t="s">
        <v>65</v>
      </c>
      <c r="M25" s="60"/>
    </row>
    <row r="26" spans="1:21">
      <c r="A26" s="280" t="s">
        <v>15</v>
      </c>
      <c r="B26" s="281"/>
      <c r="C26" s="281"/>
      <c r="D26" s="281"/>
      <c r="E26" s="281"/>
      <c r="F26" s="281"/>
      <c r="G26" s="281"/>
      <c r="H26" s="281"/>
      <c r="I26" s="113"/>
      <c r="J26" s="53" t="s">
        <v>66</v>
      </c>
      <c r="M26" s="60"/>
    </row>
    <row r="27" spans="1:21" ht="15" customHeight="1">
      <c r="A27" s="282" t="s">
        <v>68</v>
      </c>
      <c r="B27" s="283"/>
      <c r="C27" s="283"/>
      <c r="D27" s="283"/>
      <c r="E27" s="283"/>
      <c r="F27" s="283"/>
      <c r="G27" s="283"/>
      <c r="H27" s="283"/>
      <c r="I27" s="116"/>
      <c r="M27" s="60"/>
    </row>
    <row r="28" spans="1:21">
      <c r="A28" s="284" t="s">
        <v>16</v>
      </c>
      <c r="B28" s="285"/>
      <c r="C28" s="285"/>
      <c r="D28" s="285"/>
      <c r="E28" s="285"/>
      <c r="F28" s="285"/>
      <c r="G28" s="285"/>
      <c r="H28" s="286"/>
      <c r="I28" s="85"/>
      <c r="M28" s="60"/>
    </row>
    <row r="29" spans="1:21" ht="15.75" thickBot="1">
      <c r="A29" s="276" t="str">
        <f>INVOICE!A27</f>
        <v>JAKARTA INDONESIA</v>
      </c>
      <c r="B29" s="277"/>
      <c r="C29" s="277"/>
      <c r="D29" s="277"/>
      <c r="E29" s="277"/>
      <c r="F29" s="277"/>
      <c r="G29" s="277"/>
      <c r="H29" s="278"/>
      <c r="I29" s="86"/>
      <c r="J29" s="87"/>
      <c r="K29" s="87"/>
      <c r="L29" s="87"/>
      <c r="M29" s="88"/>
    </row>
    <row r="30" spans="1:21" ht="9.75" customHeight="1" thickBot="1">
      <c r="A30" s="89"/>
      <c r="B30" s="90"/>
      <c r="C30" s="90"/>
      <c r="D30" s="90"/>
      <c r="E30" s="90"/>
      <c r="F30" s="90"/>
      <c r="G30" s="35"/>
    </row>
    <row r="31" spans="1:21" ht="14.1" customHeight="1">
      <c r="A31" s="237" t="str">
        <f>INVOICE!A29</f>
        <v>品番
( Part No)</v>
      </c>
      <c r="B31" s="238"/>
      <c r="C31" s="238"/>
      <c r="D31" s="242" t="str">
        <f>INVOICE!D29</f>
        <v>品名
(Part Name)</v>
      </c>
      <c r="E31" s="242" t="s">
        <v>20</v>
      </c>
      <c r="F31" s="220" t="s">
        <v>32</v>
      </c>
      <c r="G31" s="279" t="s">
        <v>22</v>
      </c>
      <c r="H31" s="258" t="s">
        <v>33</v>
      </c>
      <c r="I31" s="287"/>
      <c r="J31" s="242" t="s">
        <v>34</v>
      </c>
      <c r="K31" s="258" t="s">
        <v>35</v>
      </c>
      <c r="L31" s="252" t="s">
        <v>36</v>
      </c>
      <c r="M31" s="235" t="s">
        <v>37</v>
      </c>
      <c r="R31" s="119"/>
    </row>
    <row r="32" spans="1:21" ht="9.75" customHeight="1">
      <c r="A32" s="239"/>
      <c r="B32" s="205"/>
      <c r="C32" s="205"/>
      <c r="D32" s="243"/>
      <c r="E32" s="290"/>
      <c r="F32" s="221"/>
      <c r="G32" s="205"/>
      <c r="H32" s="288"/>
      <c r="I32" s="289"/>
      <c r="J32" s="243"/>
      <c r="K32" s="259"/>
      <c r="L32" s="253"/>
      <c r="M32" s="236"/>
      <c r="N32" s="18"/>
      <c r="O32" s="18"/>
      <c r="P32" s="18"/>
      <c r="Q32" s="18"/>
      <c r="R32" s="18"/>
      <c r="S32" s="18"/>
      <c r="T32" s="18"/>
      <c r="U32" s="18"/>
    </row>
    <row r="33" spans="1:21" ht="11.25" customHeight="1">
      <c r="A33" s="239"/>
      <c r="B33" s="205"/>
      <c r="C33" s="205"/>
      <c r="D33" s="243"/>
      <c r="E33" s="290"/>
      <c r="F33" s="221"/>
      <c r="G33" s="205"/>
      <c r="H33" s="288"/>
      <c r="I33" s="289"/>
      <c r="J33" s="243"/>
      <c r="K33" s="259"/>
      <c r="L33" s="253"/>
      <c r="M33" s="236"/>
      <c r="N33" s="18"/>
      <c r="O33" s="19"/>
      <c r="P33" s="19"/>
      <c r="Q33" s="19"/>
      <c r="R33" s="20"/>
      <c r="S33" s="21"/>
      <c r="T33" s="21"/>
      <c r="U33" s="21"/>
    </row>
    <row r="34" spans="1:21">
      <c r="A34" s="240"/>
      <c r="B34" s="241"/>
      <c r="C34" s="241"/>
      <c r="D34" s="244"/>
      <c r="E34" s="291"/>
      <c r="F34" s="222"/>
      <c r="G34" s="241"/>
      <c r="H34" s="288"/>
      <c r="I34" s="289"/>
      <c r="J34" s="244"/>
      <c r="K34" s="260"/>
      <c r="L34" s="253"/>
      <c r="M34" s="236"/>
      <c r="N34" s="18"/>
      <c r="O34" s="19"/>
      <c r="P34" s="19"/>
      <c r="Q34" s="19"/>
      <c r="R34" s="20"/>
      <c r="S34" s="21"/>
      <c r="T34" s="21"/>
      <c r="U34" s="21"/>
    </row>
    <row r="35" spans="1:21" ht="39" customHeight="1">
      <c r="A35" s="91">
        <v>1</v>
      </c>
      <c r="B35" s="205" t="str">
        <f>INVOICE!B33</f>
        <v>LDBA043800-2</v>
      </c>
      <c r="C35" s="205"/>
      <c r="D35" s="92" t="e">
        <f>INVOICE!D33</f>
        <v>#REF!</v>
      </c>
      <c r="E35" s="56" t="str">
        <f>INVOICE!E33</f>
        <v>PHC-2025100007</v>
      </c>
      <c r="F35" s="44" t="e">
        <f>INVOICE!F33</f>
        <v>#REF!</v>
      </c>
      <c r="G35" s="52">
        <f>INVOICE!G33</f>
        <v>300</v>
      </c>
      <c r="H35" s="261">
        <f>_xlfn.XLOOKUP(B35,データ!B:B,データ!F:F,"")</f>
        <v>40</v>
      </c>
      <c r="I35" s="262"/>
      <c r="J35" s="52">
        <f>IFERROR(ROUNDUP(G35/H35,0),"")</f>
        <v>8</v>
      </c>
      <c r="K35" s="263">
        <v>7</v>
      </c>
      <c r="L35" s="93">
        <f>IFERROR(G35*O35/1000,"")</f>
        <v>0</v>
      </c>
      <c r="M35" s="54">
        <f>IFERROR(L35+J35*0.77+10,"")</f>
        <v>16.16</v>
      </c>
      <c r="N35" s="18"/>
      <c r="O35" s="120"/>
      <c r="P35" s="120"/>
      <c r="Q35" s="120"/>
      <c r="R35" s="20"/>
      <c r="S35" s="18"/>
      <c r="T35" s="21"/>
      <c r="U35" s="21"/>
    </row>
    <row r="36" spans="1:21" ht="39.75" customHeight="1">
      <c r="A36" s="91">
        <f t="shared" ref="A36" si="0">A35+1</f>
        <v>2</v>
      </c>
      <c r="B36" s="205" t="str">
        <f>INVOICE!B34</f>
        <v>LDBA043900-2</v>
      </c>
      <c r="C36" s="205"/>
      <c r="D36" s="92" t="e">
        <f>INVOICE!D34</f>
        <v>#REF!</v>
      </c>
      <c r="E36" s="56" t="str">
        <f>INVOICE!E34</f>
        <v>PHC-2025100007</v>
      </c>
      <c r="F36" s="44" t="e">
        <f>INVOICE!F34</f>
        <v>#REF!</v>
      </c>
      <c r="G36" s="52">
        <f>INVOICE!G34</f>
        <v>300</v>
      </c>
      <c r="H36" s="261">
        <f>_xlfn.XLOOKUP(B36,データ!B:B,データ!F:F,"")</f>
        <v>46</v>
      </c>
      <c r="I36" s="262"/>
      <c r="J36" s="52">
        <f t="shared" ref="J36:J51" si="1">IFERROR(ROUNDUP(G36/H36,0),"")</f>
        <v>7</v>
      </c>
      <c r="K36" s="264"/>
      <c r="L36" s="93">
        <f t="shared" ref="L36:L51" si="2">IFERROR(G36*O36/1000,"")</f>
        <v>0</v>
      </c>
      <c r="M36" s="54">
        <f t="shared" ref="M36:M51" si="3">IFERROR(L36+J36*0.77+10,"")</f>
        <v>15.39</v>
      </c>
      <c r="N36" s="18"/>
      <c r="O36" s="120"/>
      <c r="P36" s="120"/>
      <c r="Q36" s="120"/>
      <c r="R36" s="20"/>
      <c r="S36" s="18"/>
      <c r="T36" s="21"/>
      <c r="U36" s="21"/>
    </row>
    <row r="37" spans="1:21" ht="39.75" customHeight="1">
      <c r="A37" s="91">
        <f>A36+1</f>
        <v>3</v>
      </c>
      <c r="B37" s="205" t="str">
        <f>INVOICE!B35</f>
        <v>LDBA044901-2</v>
      </c>
      <c r="C37" s="205"/>
      <c r="D37" s="92" t="e">
        <f>INVOICE!D35</f>
        <v>#REF!</v>
      </c>
      <c r="E37" s="56" t="str">
        <f>INVOICE!E35</f>
        <v>PHC-2025100019</v>
      </c>
      <c r="F37" s="44" t="e">
        <f>INVOICE!F35</f>
        <v>#REF!</v>
      </c>
      <c r="G37" s="52">
        <f>INVOICE!G35</f>
        <v>329</v>
      </c>
      <c r="H37" s="261">
        <f>_xlfn.XLOOKUP(B37,データ!B:B,データ!F:F,"")</f>
        <v>42</v>
      </c>
      <c r="I37" s="262"/>
      <c r="J37" s="52">
        <f t="shared" si="1"/>
        <v>8</v>
      </c>
      <c r="K37" s="264"/>
      <c r="L37" s="93">
        <f t="shared" si="2"/>
        <v>0</v>
      </c>
      <c r="M37" s="54">
        <f t="shared" si="3"/>
        <v>16.16</v>
      </c>
      <c r="N37" s="18"/>
      <c r="O37" s="120"/>
      <c r="P37" s="120"/>
      <c r="Q37" s="120"/>
      <c r="R37" s="20"/>
      <c r="S37" s="18"/>
      <c r="T37" s="21"/>
      <c r="U37" s="21"/>
    </row>
    <row r="38" spans="1:21" ht="39.75" customHeight="1">
      <c r="A38" s="91">
        <f>A37+1</f>
        <v>4</v>
      </c>
      <c r="B38" s="205" t="str">
        <f>INVOICE!B36</f>
        <v>LDBA045001-2</v>
      </c>
      <c r="C38" s="205"/>
      <c r="D38" s="92" t="e">
        <f>INVOICE!D36</f>
        <v>#REF!</v>
      </c>
      <c r="E38" s="56" t="str">
        <f>INVOICE!E36</f>
        <v>PHC-2025100019</v>
      </c>
      <c r="F38" s="44" t="e">
        <f>INVOICE!F36</f>
        <v>#REF!</v>
      </c>
      <c r="G38" s="52">
        <f>INVOICE!G36</f>
        <v>331</v>
      </c>
      <c r="H38" s="261">
        <f>_xlfn.XLOOKUP(B38,データ!B:B,データ!F:F,"")</f>
        <v>42</v>
      </c>
      <c r="I38" s="262"/>
      <c r="J38" s="52">
        <f t="shared" si="1"/>
        <v>8</v>
      </c>
      <c r="K38" s="264"/>
      <c r="L38" s="93">
        <f t="shared" si="2"/>
        <v>0</v>
      </c>
      <c r="M38" s="54">
        <f t="shared" si="3"/>
        <v>16.16</v>
      </c>
      <c r="N38" s="18"/>
      <c r="O38" s="120"/>
      <c r="P38" s="120"/>
      <c r="Q38" s="120"/>
      <c r="R38" s="20"/>
      <c r="S38" s="18"/>
      <c r="T38" s="21"/>
      <c r="U38" s="21"/>
    </row>
    <row r="39" spans="1:21" ht="39.75" customHeight="1">
      <c r="A39" s="91">
        <f t="shared" ref="A39:A52" si="4">A38+1</f>
        <v>5</v>
      </c>
      <c r="B39" s="205" t="str">
        <f>INVOICE!B37</f>
        <v>LDBA045101-3</v>
      </c>
      <c r="C39" s="205"/>
      <c r="D39" s="92" t="e">
        <f>INVOICE!D37</f>
        <v>#REF!</v>
      </c>
      <c r="E39" s="56" t="str">
        <f>INVOICE!E37</f>
        <v>PHC-2025100007
PHC-2025100019</v>
      </c>
      <c r="F39" s="44" t="e">
        <f>INVOICE!F37</f>
        <v>#REF!</v>
      </c>
      <c r="G39" s="52">
        <f>INVOICE!G37</f>
        <v>640</v>
      </c>
      <c r="H39" s="261">
        <f>_xlfn.XLOOKUP(B39,データ!B:B,データ!F:F,"")</f>
        <v>40</v>
      </c>
      <c r="I39" s="262"/>
      <c r="J39" s="52">
        <f t="shared" si="1"/>
        <v>16</v>
      </c>
      <c r="K39" s="264"/>
      <c r="L39" s="93">
        <f t="shared" si="2"/>
        <v>0</v>
      </c>
      <c r="M39" s="54">
        <f t="shared" si="3"/>
        <v>22.32</v>
      </c>
      <c r="N39" s="18"/>
      <c r="O39" s="120"/>
      <c r="P39" s="120"/>
      <c r="Q39" s="120"/>
      <c r="R39" s="20"/>
      <c r="S39" s="18"/>
      <c r="T39" s="21"/>
      <c r="U39" s="21"/>
    </row>
    <row r="40" spans="1:21" ht="39.75" customHeight="1">
      <c r="A40" s="91">
        <f t="shared" si="4"/>
        <v>6</v>
      </c>
      <c r="B40" s="205" t="str">
        <f>INVOICE!B38</f>
        <v>LDBA053601-2</v>
      </c>
      <c r="C40" s="205"/>
      <c r="D40" s="92" t="e">
        <f>INVOICE!D38</f>
        <v>#REF!</v>
      </c>
      <c r="E40" s="56" t="str">
        <f>INVOICE!E38</f>
        <v>PHC-2025100019</v>
      </c>
      <c r="F40" s="44" t="e">
        <f>INVOICE!F38</f>
        <v>#REF!</v>
      </c>
      <c r="G40" s="52">
        <f>INVOICE!G38</f>
        <v>300</v>
      </c>
      <c r="H40" s="261">
        <f>_xlfn.XLOOKUP(B40,データ!B:B,データ!F:F,"")</f>
        <v>80</v>
      </c>
      <c r="I40" s="262"/>
      <c r="J40" s="52">
        <f t="shared" si="1"/>
        <v>4</v>
      </c>
      <c r="K40" s="264"/>
      <c r="L40" s="93">
        <f t="shared" si="2"/>
        <v>0</v>
      </c>
      <c r="M40" s="54">
        <f t="shared" si="3"/>
        <v>13.08</v>
      </c>
      <c r="N40" s="18"/>
      <c r="O40" s="120"/>
      <c r="P40" s="120"/>
      <c r="Q40" s="120"/>
      <c r="R40" s="20"/>
      <c r="S40" s="18"/>
      <c r="T40" s="21"/>
      <c r="U40" s="21"/>
    </row>
    <row r="41" spans="1:21" ht="39.75" customHeight="1">
      <c r="A41" s="91">
        <f t="shared" si="4"/>
        <v>7</v>
      </c>
      <c r="B41" s="205" t="str">
        <f>INVOICE!B39</f>
        <v>LDBA064301-2</v>
      </c>
      <c r="C41" s="205"/>
      <c r="D41" s="92" t="e">
        <f>INVOICE!D39</f>
        <v>#REF!</v>
      </c>
      <c r="E41" s="56" t="str">
        <f>INVOICE!E39</f>
        <v>PHC-2025100007</v>
      </c>
      <c r="F41" s="44" t="e">
        <f>INVOICE!F39</f>
        <v>#REF!</v>
      </c>
      <c r="G41" s="52">
        <f>INVOICE!G39</f>
        <v>300</v>
      </c>
      <c r="H41" s="261">
        <f>_xlfn.XLOOKUP(B41,データ!B:B,データ!F:F,"")</f>
        <v>80</v>
      </c>
      <c r="I41" s="262"/>
      <c r="J41" s="52">
        <f t="shared" si="1"/>
        <v>4</v>
      </c>
      <c r="K41" s="264"/>
      <c r="L41" s="93">
        <f t="shared" si="2"/>
        <v>0</v>
      </c>
      <c r="M41" s="54">
        <f t="shared" si="3"/>
        <v>13.08</v>
      </c>
      <c r="N41" s="18"/>
      <c r="O41" s="120"/>
      <c r="P41" s="120"/>
      <c r="Q41" s="120"/>
      <c r="R41" s="20"/>
      <c r="S41" s="18"/>
      <c r="T41" s="21"/>
      <c r="U41" s="21"/>
    </row>
    <row r="42" spans="1:21" ht="39.75" customHeight="1">
      <c r="A42" s="91">
        <f t="shared" si="4"/>
        <v>8</v>
      </c>
      <c r="B42" s="205" t="str">
        <f>INVOICE!B40</f>
        <v>LDBA053603-0</v>
      </c>
      <c r="C42" s="205"/>
      <c r="D42" s="92" t="e">
        <f>INVOICE!D40</f>
        <v>#REF!</v>
      </c>
      <c r="E42" s="56" t="str">
        <f>INVOICE!E40</f>
        <v>PHC-2025100019</v>
      </c>
      <c r="F42" s="44" t="e">
        <f>INVOICE!F40</f>
        <v>#REF!</v>
      </c>
      <c r="G42" s="52">
        <f>INVOICE!G40</f>
        <v>300</v>
      </c>
      <c r="H42" s="261">
        <f>_xlfn.XLOOKUP(B42,データ!B:B,データ!F:F,"")</f>
        <v>80</v>
      </c>
      <c r="I42" s="262"/>
      <c r="J42" s="52">
        <f t="shared" si="1"/>
        <v>4</v>
      </c>
      <c r="K42" s="264"/>
      <c r="L42" s="93">
        <f t="shared" si="2"/>
        <v>0</v>
      </c>
      <c r="M42" s="54">
        <f t="shared" si="3"/>
        <v>13.08</v>
      </c>
      <c r="N42" s="18"/>
      <c r="O42" s="120"/>
      <c r="P42" s="120"/>
      <c r="Q42" s="120"/>
      <c r="R42" s="20"/>
      <c r="S42" s="18"/>
      <c r="T42" s="21"/>
      <c r="U42" s="21"/>
    </row>
    <row r="43" spans="1:21" ht="39.75" customHeight="1">
      <c r="A43" s="91">
        <f t="shared" si="4"/>
        <v>9</v>
      </c>
      <c r="B43" s="205" t="str">
        <f>INVOICE!B41</f>
        <v>LDBA064303-0</v>
      </c>
      <c r="C43" s="205"/>
      <c r="D43" s="92" t="e">
        <f>INVOICE!D41</f>
        <v>#REF!</v>
      </c>
      <c r="E43" s="56" t="str">
        <f>INVOICE!E41</f>
        <v>PHC-2025100019</v>
      </c>
      <c r="F43" s="44" t="e">
        <f>INVOICE!F41</f>
        <v>#REF!</v>
      </c>
      <c r="G43" s="52">
        <f>INVOICE!G41</f>
        <v>300</v>
      </c>
      <c r="H43" s="261">
        <f>_xlfn.XLOOKUP(B43,データ!B:B,データ!F:F,"")</f>
        <v>80</v>
      </c>
      <c r="I43" s="262"/>
      <c r="J43" s="52">
        <f t="shared" si="1"/>
        <v>4</v>
      </c>
      <c r="K43" s="264"/>
      <c r="L43" s="93">
        <f t="shared" si="2"/>
        <v>0</v>
      </c>
      <c r="M43" s="54">
        <f t="shared" si="3"/>
        <v>13.08</v>
      </c>
      <c r="N43" s="18"/>
      <c r="O43" s="120"/>
      <c r="P43" s="120"/>
      <c r="Q43" s="120"/>
      <c r="R43" s="20"/>
      <c r="S43" s="18"/>
      <c r="T43" s="21"/>
      <c r="U43" s="21"/>
    </row>
    <row r="44" spans="1:21" ht="39.75" customHeight="1">
      <c r="A44" s="91">
        <f t="shared" si="4"/>
        <v>10</v>
      </c>
      <c r="B44" s="205" t="str">
        <f>INVOICE!B42</f>
        <v>LDBA053700-0</v>
      </c>
      <c r="C44" s="205"/>
      <c r="D44" s="92" t="e">
        <f>INVOICE!D42</f>
        <v>#REF!</v>
      </c>
      <c r="E44" s="56" t="str">
        <f>INVOICE!E42</f>
        <v>PHC-2025100019</v>
      </c>
      <c r="F44" s="44" t="e">
        <f>INVOICE!F42</f>
        <v>#REF!</v>
      </c>
      <c r="G44" s="52">
        <f>INVOICE!G42</f>
        <v>300</v>
      </c>
      <c r="H44" s="261">
        <f>_xlfn.XLOOKUP(B44,データ!B:B,データ!F:F,"")</f>
        <v>50</v>
      </c>
      <c r="I44" s="262"/>
      <c r="J44" s="52">
        <f t="shared" si="1"/>
        <v>6</v>
      </c>
      <c r="K44" s="264"/>
      <c r="L44" s="93">
        <f t="shared" si="2"/>
        <v>0</v>
      </c>
      <c r="M44" s="54">
        <f t="shared" si="3"/>
        <v>14.620000000000001</v>
      </c>
      <c r="N44" s="18"/>
      <c r="O44" s="120"/>
      <c r="P44" s="120"/>
      <c r="Q44" s="120"/>
      <c r="R44" s="20"/>
      <c r="S44" s="18"/>
      <c r="T44" s="21"/>
      <c r="U44" s="21"/>
    </row>
    <row r="45" spans="1:21" ht="39.75" customHeight="1">
      <c r="A45" s="91">
        <f t="shared" si="4"/>
        <v>11</v>
      </c>
      <c r="B45" s="205" t="str">
        <f>INVOICE!B43</f>
        <v>LDBA053800-0</v>
      </c>
      <c r="C45" s="205"/>
      <c r="D45" s="92" t="e">
        <f>INVOICE!D43</f>
        <v>#REF!</v>
      </c>
      <c r="E45" s="56" t="str">
        <f>INVOICE!E43</f>
        <v>PHC-2025100019</v>
      </c>
      <c r="F45" s="44" t="e">
        <f>INVOICE!F43</f>
        <v>#REF!</v>
      </c>
      <c r="G45" s="52">
        <f>INVOICE!G43</f>
        <v>300</v>
      </c>
      <c r="H45" s="261">
        <f>_xlfn.XLOOKUP(B45,データ!B:B,データ!F:F,"")</f>
        <v>50</v>
      </c>
      <c r="I45" s="262"/>
      <c r="J45" s="52">
        <f t="shared" si="1"/>
        <v>6</v>
      </c>
      <c r="K45" s="264"/>
      <c r="L45" s="93">
        <f t="shared" si="2"/>
        <v>0</v>
      </c>
      <c r="M45" s="54">
        <f t="shared" si="3"/>
        <v>14.620000000000001</v>
      </c>
      <c r="N45" s="18"/>
      <c r="O45" s="120"/>
      <c r="P45" s="120"/>
      <c r="Q45" s="120"/>
      <c r="R45" s="20"/>
      <c r="S45" s="18"/>
      <c r="T45" s="21"/>
      <c r="U45" s="21"/>
    </row>
    <row r="46" spans="1:21" ht="39.75" customHeight="1">
      <c r="A46" s="91">
        <f t="shared" si="4"/>
        <v>12</v>
      </c>
      <c r="B46" s="205" t="str">
        <f>INVOICE!B44</f>
        <v>LDBA061200-0</v>
      </c>
      <c r="C46" s="205"/>
      <c r="D46" s="92" t="e">
        <f>INVOICE!D44</f>
        <v>#REF!</v>
      </c>
      <c r="E46" s="56" t="str">
        <f>INVOICE!E44</f>
        <v>PHC-2025100063
PHC-2023060092</v>
      </c>
      <c r="F46" s="44" t="e">
        <f>INVOICE!F44</f>
        <v>#REF!</v>
      </c>
      <c r="G46" s="52">
        <f>INVOICE!G44</f>
        <v>323</v>
      </c>
      <c r="H46" s="261">
        <f>_xlfn.XLOOKUP(B46,データ!B:B,データ!F:F,"")</f>
        <v>20</v>
      </c>
      <c r="I46" s="262"/>
      <c r="J46" s="52">
        <f t="shared" si="1"/>
        <v>17</v>
      </c>
      <c r="K46" s="264"/>
      <c r="L46" s="93">
        <f t="shared" si="2"/>
        <v>0</v>
      </c>
      <c r="M46" s="54">
        <f t="shared" si="3"/>
        <v>23.09</v>
      </c>
      <c r="N46" s="18"/>
      <c r="O46" s="120"/>
      <c r="P46" s="120"/>
      <c r="Q46" s="120"/>
      <c r="R46" s="20"/>
      <c r="S46" s="18"/>
      <c r="T46" s="21"/>
      <c r="U46" s="21"/>
    </row>
    <row r="47" spans="1:21" ht="39.75" customHeight="1">
      <c r="A47" s="91">
        <f t="shared" si="4"/>
        <v>13</v>
      </c>
      <c r="B47" s="205" t="str">
        <f>INVOICE!B45</f>
        <v>LDBA061300-0</v>
      </c>
      <c r="C47" s="205"/>
      <c r="D47" s="92" t="e">
        <f>INVOICE!D45</f>
        <v>#REF!</v>
      </c>
      <c r="E47" s="56" t="str">
        <f>INVOICE!E45</f>
        <v>PHC-2023060092</v>
      </c>
      <c r="F47" s="44" t="e">
        <f>INVOICE!F45</f>
        <v>#REF!</v>
      </c>
      <c r="G47" s="52">
        <f>INVOICE!G45</f>
        <v>6</v>
      </c>
      <c r="H47" s="261">
        <f>_xlfn.XLOOKUP(B47,データ!B:B,データ!F:F,"")</f>
        <v>20</v>
      </c>
      <c r="I47" s="262"/>
      <c r="J47" s="52">
        <f t="shared" si="1"/>
        <v>1</v>
      </c>
      <c r="K47" s="264"/>
      <c r="L47" s="93">
        <f t="shared" si="2"/>
        <v>0</v>
      </c>
      <c r="M47" s="54">
        <f t="shared" si="3"/>
        <v>10.77</v>
      </c>
      <c r="N47" s="18"/>
      <c r="O47" s="120"/>
      <c r="P47" s="120"/>
      <c r="Q47" s="120"/>
      <c r="R47" s="20"/>
      <c r="S47" s="18"/>
      <c r="T47" s="21"/>
      <c r="U47" s="21"/>
    </row>
    <row r="48" spans="1:21" ht="39.75" customHeight="1">
      <c r="A48" s="91">
        <f t="shared" si="4"/>
        <v>14</v>
      </c>
      <c r="B48" s="205" t="str">
        <f>INVOICE!B46</f>
        <v>LDBA093301-0</v>
      </c>
      <c r="C48" s="205"/>
      <c r="D48" s="92" t="e">
        <f>INVOICE!D46</f>
        <v>#REF!</v>
      </c>
      <c r="E48" s="56" t="str">
        <f>INVOICE!E46</f>
        <v>PHC-2024090117</v>
      </c>
      <c r="F48" s="44" t="e">
        <f>INVOICE!F46</f>
        <v>#REF!</v>
      </c>
      <c r="G48" s="52">
        <f>INVOICE!G46</f>
        <v>13</v>
      </c>
      <c r="H48" s="261">
        <f>_xlfn.XLOOKUP(B48,データ!B:B,データ!F:F,"")</f>
        <v>80</v>
      </c>
      <c r="I48" s="262"/>
      <c r="J48" s="52">
        <f t="shared" si="1"/>
        <v>1</v>
      </c>
      <c r="K48" s="264"/>
      <c r="L48" s="93">
        <f t="shared" si="2"/>
        <v>0</v>
      </c>
      <c r="M48" s="54">
        <f t="shared" si="3"/>
        <v>10.77</v>
      </c>
      <c r="N48" s="18"/>
      <c r="O48" s="120"/>
      <c r="P48" s="120"/>
      <c r="Q48" s="120"/>
      <c r="R48" s="20"/>
      <c r="S48" s="18"/>
      <c r="T48" s="21"/>
      <c r="U48" s="21"/>
    </row>
    <row r="49" spans="1:21" ht="39.75" customHeight="1">
      <c r="A49" s="91">
        <f t="shared" si="4"/>
        <v>15</v>
      </c>
      <c r="B49" s="205" t="str">
        <f>INVOICE!B47</f>
        <v>LDBA053500-0</v>
      </c>
      <c r="C49" s="205"/>
      <c r="D49" s="92" t="e">
        <f>INVOICE!D47</f>
        <v>#REF!</v>
      </c>
      <c r="E49" s="56" t="str">
        <f>INVOICE!E47</f>
        <v>PHC-2025100019</v>
      </c>
      <c r="F49" s="44" t="e">
        <f>INVOICE!F47</f>
        <v>#REF!</v>
      </c>
      <c r="G49" s="52">
        <f>INVOICE!G47</f>
        <v>300</v>
      </c>
      <c r="H49" s="261">
        <f>_xlfn.XLOOKUP(B49,データ!B:B,データ!F:F,"")</f>
        <v>170</v>
      </c>
      <c r="I49" s="262"/>
      <c r="J49" s="52">
        <f t="shared" si="1"/>
        <v>2</v>
      </c>
      <c r="K49" s="264"/>
      <c r="L49" s="93">
        <f t="shared" si="2"/>
        <v>0</v>
      </c>
      <c r="M49" s="54">
        <f t="shared" si="3"/>
        <v>11.54</v>
      </c>
      <c r="N49" s="18"/>
      <c r="O49" s="120"/>
      <c r="P49" s="120"/>
      <c r="Q49" s="120"/>
      <c r="R49" s="20"/>
      <c r="S49" s="18"/>
      <c r="T49" s="21"/>
      <c r="U49" s="21"/>
    </row>
    <row r="50" spans="1:21" ht="39.75" customHeight="1">
      <c r="A50" s="91">
        <f t="shared" si="4"/>
        <v>16</v>
      </c>
      <c r="B50" s="205" t="str">
        <f>INVOICE!B48</f>
        <v>LDBA060800-0</v>
      </c>
      <c r="C50" s="205"/>
      <c r="D50" s="92" t="e">
        <f>INVOICE!D48</f>
        <v>#REF!</v>
      </c>
      <c r="E50" s="56" t="str">
        <f>INVOICE!E48</f>
        <v>PHC-2025100063</v>
      </c>
      <c r="F50" s="44" t="e">
        <f>INVOICE!F48</f>
        <v>#REF!</v>
      </c>
      <c r="G50" s="52">
        <f>INVOICE!G48</f>
        <v>320</v>
      </c>
      <c r="H50" s="261">
        <f>_xlfn.XLOOKUP(B50,データ!B:B,データ!F:F,"")</f>
        <v>34</v>
      </c>
      <c r="I50" s="262"/>
      <c r="J50" s="52">
        <f t="shared" si="1"/>
        <v>10</v>
      </c>
      <c r="K50" s="264"/>
      <c r="L50" s="93">
        <f t="shared" si="2"/>
        <v>0</v>
      </c>
      <c r="M50" s="54">
        <f t="shared" si="3"/>
        <v>17.7</v>
      </c>
      <c r="N50" s="18"/>
      <c r="O50" s="120"/>
      <c r="P50" s="120"/>
      <c r="Q50" s="120"/>
      <c r="R50" s="20"/>
      <c r="S50" s="18"/>
      <c r="T50" s="21"/>
      <c r="U50" s="21"/>
    </row>
    <row r="51" spans="1:21" ht="39.75" customHeight="1">
      <c r="A51" s="91">
        <f t="shared" si="4"/>
        <v>17</v>
      </c>
      <c r="B51" s="205" t="str">
        <f>INVOICE!B49</f>
        <v>LDBA060501-1</v>
      </c>
      <c r="C51" s="205"/>
      <c r="D51" s="92" t="e">
        <f>INVOICE!D49</f>
        <v>#REF!</v>
      </c>
      <c r="E51" s="56" t="str">
        <f>INVOICE!E49</f>
        <v>PHC-2024070112</v>
      </c>
      <c r="F51" s="44" t="e">
        <f>INVOICE!F49</f>
        <v>#REF!</v>
      </c>
      <c r="G51" s="52">
        <f>INVOICE!G49</f>
        <v>80</v>
      </c>
      <c r="H51" s="261">
        <f>_xlfn.XLOOKUP(B51,データ!B:B,データ!F:F,"")</f>
        <v>22</v>
      </c>
      <c r="I51" s="262"/>
      <c r="J51" s="52">
        <f t="shared" si="1"/>
        <v>4</v>
      </c>
      <c r="K51" s="265"/>
      <c r="L51" s="93">
        <f t="shared" si="2"/>
        <v>0</v>
      </c>
      <c r="M51" s="54">
        <f t="shared" si="3"/>
        <v>13.08</v>
      </c>
      <c r="N51" s="18"/>
      <c r="O51" s="120"/>
      <c r="P51" s="120"/>
      <c r="Q51" s="120"/>
      <c r="R51" s="20"/>
      <c r="S51" s="18"/>
      <c r="T51" s="21"/>
      <c r="U51" s="21"/>
    </row>
    <row r="52" spans="1:21" ht="39.75" customHeight="1">
      <c r="A52" s="91">
        <f t="shared" si="4"/>
        <v>18</v>
      </c>
      <c r="B52" s="205"/>
      <c r="C52" s="205"/>
      <c r="D52" s="92"/>
      <c r="E52" s="56"/>
      <c r="F52" s="44"/>
      <c r="G52" s="52"/>
      <c r="H52" s="117"/>
      <c r="I52" s="118"/>
      <c r="J52" s="52"/>
      <c r="K52" s="55"/>
      <c r="L52" s="93"/>
      <c r="M52" s="54"/>
      <c r="N52" s="18"/>
      <c r="O52" s="120"/>
      <c r="P52" s="120"/>
      <c r="Q52" s="120"/>
      <c r="R52" s="20"/>
      <c r="S52" s="18"/>
      <c r="T52" s="21"/>
      <c r="U52" s="21"/>
    </row>
    <row r="53" spans="1:21">
      <c r="A53" s="207" t="s">
        <v>26</v>
      </c>
      <c r="B53" s="208"/>
      <c r="C53" s="208"/>
      <c r="D53" s="208"/>
      <c r="E53" s="208"/>
      <c r="F53" s="209"/>
      <c r="G53" s="266">
        <f>SUM(G35:G52)</f>
        <v>4742</v>
      </c>
      <c r="H53" s="217"/>
      <c r="I53" s="209"/>
      <c r="J53" s="215">
        <f>SUM(J35:J52)</f>
        <v>110</v>
      </c>
      <c r="K53" s="270">
        <f>SUM(K35:K52)</f>
        <v>7</v>
      </c>
      <c r="L53" s="272">
        <f>SUM(L35:L52)</f>
        <v>0</v>
      </c>
      <c r="M53" s="268">
        <f>SUM(M35:M52)</f>
        <v>254.70000000000002</v>
      </c>
      <c r="N53" s="257"/>
      <c r="O53" s="257"/>
      <c r="P53" s="257"/>
    </row>
    <row r="54" spans="1:21" ht="13.5" customHeight="1" thickBot="1">
      <c r="A54" s="210"/>
      <c r="B54" s="211"/>
      <c r="C54" s="211"/>
      <c r="D54" s="211"/>
      <c r="E54" s="211"/>
      <c r="F54" s="212"/>
      <c r="G54" s="267"/>
      <c r="H54" s="218"/>
      <c r="I54" s="212"/>
      <c r="J54" s="216"/>
      <c r="K54" s="271"/>
      <c r="L54" s="273"/>
      <c r="M54" s="269"/>
      <c r="N54" s="257"/>
      <c r="O54" s="257"/>
      <c r="P54" s="257"/>
    </row>
    <row r="55" spans="1:21" ht="20.100000000000001" customHeight="1">
      <c r="A55" s="94" t="str">
        <f>INVOICE!A54</f>
        <v>原産国 (Country of Origin) : VIETNAM</v>
      </c>
      <c r="B55" s="67"/>
      <c r="O55" s="67"/>
      <c r="T55" s="121"/>
    </row>
    <row r="56" spans="1:21" ht="18" customHeight="1">
      <c r="A56" s="213" t="s">
        <v>47</v>
      </c>
      <c r="B56" s="214"/>
      <c r="C56" s="214"/>
      <c r="D56" s="95">
        <f>G53</f>
        <v>4742</v>
      </c>
      <c r="E56" s="95"/>
      <c r="F56" s="96"/>
      <c r="G56" s="97"/>
      <c r="H56" s="214"/>
      <c r="I56" s="214"/>
      <c r="J56" s="214"/>
      <c r="N56" s="122"/>
      <c r="O56" s="67"/>
    </row>
    <row r="57" spans="1:21" ht="20.100000000000001" customHeight="1">
      <c r="A57" s="22" t="s">
        <v>38</v>
      </c>
      <c r="D57" s="39">
        <f>M53</f>
        <v>254.70000000000002</v>
      </c>
      <c r="E57" s="39"/>
      <c r="F57" s="98"/>
      <c r="G57" s="99"/>
      <c r="H57" s="100"/>
      <c r="I57" s="214" t="s">
        <v>28</v>
      </c>
      <c r="J57" s="214"/>
      <c r="K57" s="214"/>
      <c r="L57" s="35"/>
      <c r="N57" s="35"/>
      <c r="O57" s="67"/>
    </row>
    <row r="58" spans="1:21" ht="25.5" customHeight="1">
      <c r="A58" s="22" t="s">
        <v>39</v>
      </c>
      <c r="D58" s="101">
        <f>1.1*1.1*1.25*4+1.1*1.5*1*0.8*3</f>
        <v>10.010000000000002</v>
      </c>
      <c r="F58" s="102"/>
      <c r="G58" s="102"/>
    </row>
    <row r="59" spans="1:21" ht="20.100000000000001" customHeight="1">
      <c r="A59" s="103" t="s">
        <v>40</v>
      </c>
    </row>
    <row r="60" spans="1:21" ht="15" customHeight="1">
      <c r="A60" s="206"/>
      <c r="B60" s="206"/>
      <c r="C60" s="206"/>
      <c r="D60" s="104"/>
      <c r="E60" s="104"/>
    </row>
    <row r="61" spans="1:21" ht="13.5" customHeight="1"/>
    <row r="62" spans="1:21" hidden="1"/>
    <row r="63" spans="1:21" hidden="1"/>
    <row r="64" spans="1:21">
      <c r="F64" s="35"/>
      <c r="G64" s="35"/>
      <c r="H64" s="35"/>
      <c r="I64" s="35"/>
      <c r="J64" s="35"/>
      <c r="K64" s="35"/>
      <c r="L64" s="35"/>
      <c r="M64" s="35"/>
    </row>
    <row r="65" spans="6:14">
      <c r="F65" s="35"/>
      <c r="G65" s="36"/>
      <c r="H65" s="37"/>
      <c r="I65" s="38"/>
      <c r="J65" s="39"/>
      <c r="K65" s="39"/>
      <c r="L65" s="39"/>
      <c r="M65" s="39"/>
    </row>
    <row r="66" spans="6:14">
      <c r="F66" s="35"/>
      <c r="G66" s="36"/>
      <c r="H66" s="37"/>
      <c r="I66" s="38"/>
      <c r="J66" s="39"/>
      <c r="K66" s="39"/>
      <c r="L66" s="39"/>
      <c r="M66" s="39"/>
      <c r="N66" s="105"/>
    </row>
    <row r="67" spans="6:14">
      <c r="F67" s="35"/>
      <c r="G67" s="36"/>
      <c r="H67" s="37"/>
      <c r="I67" s="38"/>
      <c r="J67" s="35"/>
      <c r="K67" s="39"/>
      <c r="L67" s="39"/>
      <c r="M67" s="39"/>
    </row>
    <row r="68" spans="6:14">
      <c r="F68" s="35"/>
      <c r="G68" s="36"/>
      <c r="H68" s="37"/>
      <c r="I68" s="38"/>
      <c r="J68" s="35"/>
      <c r="K68" s="39"/>
      <c r="L68" s="39"/>
      <c r="M68" s="39"/>
    </row>
    <row r="69" spans="6:14">
      <c r="F69" s="35"/>
      <c r="G69" s="36"/>
      <c r="H69" s="37"/>
      <c r="I69" s="38"/>
      <c r="J69" s="35"/>
      <c r="K69" s="39"/>
      <c r="L69" s="39"/>
      <c r="M69" s="39"/>
    </row>
    <row r="70" spans="6:14">
      <c r="F70" s="35"/>
      <c r="G70" s="36"/>
      <c r="H70" s="37"/>
      <c r="I70" s="38"/>
      <c r="J70" s="35"/>
      <c r="K70" s="39"/>
      <c r="L70" s="39"/>
      <c r="M70" s="39"/>
    </row>
    <row r="71" spans="6:14">
      <c r="F71" s="35"/>
      <c r="G71" s="36"/>
      <c r="H71" s="37"/>
      <c r="I71" s="38"/>
      <c r="K71" s="39"/>
      <c r="L71" s="39"/>
      <c r="M71" s="39"/>
    </row>
    <row r="72" spans="6:14">
      <c r="F72" s="35"/>
      <c r="G72" s="36"/>
      <c r="H72" s="37"/>
      <c r="I72" s="38"/>
      <c r="K72" s="39"/>
      <c r="L72" s="39"/>
      <c r="M72" s="39"/>
    </row>
    <row r="73" spans="6:14">
      <c r="F73" s="35"/>
      <c r="G73" s="36"/>
      <c r="H73" s="37"/>
      <c r="I73" s="38"/>
      <c r="K73" s="39"/>
      <c r="L73" s="39"/>
      <c r="M73" s="39"/>
    </row>
    <row r="74" spans="6:14">
      <c r="F74" s="35"/>
      <c r="G74" s="36"/>
      <c r="H74" s="37"/>
      <c r="I74" s="38"/>
      <c r="K74" s="39"/>
      <c r="L74" s="39"/>
      <c r="M74" s="39"/>
    </row>
    <row r="75" spans="6:14">
      <c r="F75" s="35"/>
      <c r="G75" s="106"/>
      <c r="H75" s="35"/>
      <c r="I75" s="38"/>
      <c r="K75" s="35"/>
      <c r="L75" s="35"/>
      <c r="M75" s="39"/>
    </row>
    <row r="76" spans="6:14">
      <c r="F76" s="35"/>
      <c r="G76" s="106"/>
      <c r="H76" s="35"/>
      <c r="I76" s="107"/>
      <c r="K76" s="35"/>
      <c r="L76" s="35"/>
      <c r="M76" s="39"/>
    </row>
    <row r="77" spans="6:14">
      <c r="F77" s="35"/>
      <c r="G77" s="108"/>
      <c r="H77" s="35"/>
      <c r="I77" s="109"/>
      <c r="K77" s="39"/>
      <c r="L77" s="39"/>
      <c r="M77" s="39"/>
      <c r="N77" s="110"/>
    </row>
    <row r="78" spans="6:14">
      <c r="F78" s="35"/>
      <c r="G78" s="108"/>
      <c r="H78" s="35"/>
      <c r="I78" s="109"/>
      <c r="K78" s="39"/>
      <c r="L78" s="39"/>
      <c r="M78" s="39"/>
      <c r="N78" s="110"/>
    </row>
    <row r="79" spans="6:14">
      <c r="F79" s="35"/>
      <c r="G79" s="108"/>
      <c r="H79" s="35"/>
      <c r="I79" s="109"/>
      <c r="K79" s="39"/>
      <c r="L79" s="39"/>
      <c r="M79" s="39"/>
      <c r="N79" s="110"/>
    </row>
    <row r="80" spans="6:14">
      <c r="F80" s="35"/>
      <c r="G80" s="108"/>
      <c r="H80" s="35"/>
      <c r="I80" s="109"/>
      <c r="K80" s="39"/>
      <c r="L80" s="39"/>
      <c r="M80" s="39"/>
      <c r="N80" s="110"/>
    </row>
    <row r="81" spans="6:14">
      <c r="F81" s="35"/>
      <c r="G81" s="108"/>
      <c r="H81" s="35"/>
      <c r="I81" s="109"/>
      <c r="K81" s="39"/>
      <c r="L81" s="39"/>
      <c r="M81" s="39"/>
      <c r="N81" s="110"/>
    </row>
    <row r="82" spans="6:14">
      <c r="F82" s="35"/>
      <c r="G82" s="108"/>
      <c r="H82" s="35"/>
      <c r="I82" s="109"/>
      <c r="K82" s="39"/>
      <c r="L82" s="39"/>
      <c r="M82" s="39"/>
      <c r="N82" s="110"/>
    </row>
    <row r="83" spans="6:14">
      <c r="F83" s="35"/>
      <c r="G83" s="111"/>
      <c r="H83" s="35"/>
      <c r="I83" s="107"/>
      <c r="J83" s="35"/>
      <c r="K83" s="39"/>
      <c r="L83" s="39"/>
      <c r="M83" s="39"/>
    </row>
    <row r="84" spans="6:14">
      <c r="F84" s="35"/>
      <c r="G84" s="111"/>
      <c r="H84" s="112"/>
      <c r="I84" s="107"/>
      <c r="J84" s="35"/>
      <c r="K84" s="39"/>
      <c r="L84" s="39"/>
      <c r="M84" s="39"/>
    </row>
    <row r="85" spans="6:14">
      <c r="F85" s="35"/>
      <c r="G85" s="111"/>
      <c r="H85" s="35"/>
      <c r="I85" s="107"/>
      <c r="J85" s="35"/>
      <c r="K85" s="39"/>
      <c r="L85" s="39"/>
      <c r="M85" s="39"/>
    </row>
    <row r="86" spans="6:14">
      <c r="F86" s="35"/>
      <c r="G86" s="35"/>
      <c r="H86" s="35"/>
      <c r="I86" s="35"/>
      <c r="J86" s="35"/>
      <c r="K86" s="35"/>
      <c r="L86" s="35"/>
      <c r="M86" s="35"/>
    </row>
  </sheetData>
  <mergeCells count="76">
    <mergeCell ref="H50:I50"/>
    <mergeCell ref="H51:I51"/>
    <mergeCell ref="H44:I44"/>
    <mergeCell ref="B35:C35"/>
    <mergeCell ref="B36:C36"/>
    <mergeCell ref="B37:C37"/>
    <mergeCell ref="H45:I45"/>
    <mergeCell ref="H46:I46"/>
    <mergeCell ref="H47:I47"/>
    <mergeCell ref="H48:I48"/>
    <mergeCell ref="H49:I49"/>
    <mergeCell ref="B38:C38"/>
    <mergeCell ref="B39:C39"/>
    <mergeCell ref="B40:C40"/>
    <mergeCell ref="B41:C41"/>
    <mergeCell ref="B45:C45"/>
    <mergeCell ref="A23:D23"/>
    <mergeCell ref="A29:H29"/>
    <mergeCell ref="G31:G34"/>
    <mergeCell ref="A26:H26"/>
    <mergeCell ref="A27:H27"/>
    <mergeCell ref="A28:H28"/>
    <mergeCell ref="H31:I34"/>
    <mergeCell ref="E31:E34"/>
    <mergeCell ref="C25:F25"/>
    <mergeCell ref="G53:G54"/>
    <mergeCell ref="N53:N54"/>
    <mergeCell ref="O53:O54"/>
    <mergeCell ref="M53:M54"/>
    <mergeCell ref="K53:K54"/>
    <mergeCell ref="L53:L54"/>
    <mergeCell ref="L31:L34"/>
    <mergeCell ref="L11:M12"/>
    <mergeCell ref="L13:M13"/>
    <mergeCell ref="I13:K13"/>
    <mergeCell ref="P53:P54"/>
    <mergeCell ref="K31:K34"/>
    <mergeCell ref="H36:I36"/>
    <mergeCell ref="H37:I37"/>
    <mergeCell ref="H43:I43"/>
    <mergeCell ref="H40:I40"/>
    <mergeCell ref="H35:I35"/>
    <mergeCell ref="H42:I42"/>
    <mergeCell ref="H41:I41"/>
    <mergeCell ref="H38:I38"/>
    <mergeCell ref="H39:I39"/>
    <mergeCell ref="K35:K51"/>
    <mergeCell ref="H56:J56"/>
    <mergeCell ref="J53:J54"/>
    <mergeCell ref="I57:K57"/>
    <mergeCell ref="H53:I54"/>
    <mergeCell ref="A1:M4"/>
    <mergeCell ref="F31:F34"/>
    <mergeCell ref="I8:M10"/>
    <mergeCell ref="I14:M14"/>
    <mergeCell ref="A24:C24"/>
    <mergeCell ref="I15:M17"/>
    <mergeCell ref="M31:M34"/>
    <mergeCell ref="A31:C34"/>
    <mergeCell ref="D31:D34"/>
    <mergeCell ref="J31:J34"/>
    <mergeCell ref="I5:M5"/>
    <mergeCell ref="I11:K12"/>
    <mergeCell ref="A60:C60"/>
    <mergeCell ref="A53:F54"/>
    <mergeCell ref="A56:C56"/>
    <mergeCell ref="B49:C49"/>
    <mergeCell ref="B50:C50"/>
    <mergeCell ref="B51:C51"/>
    <mergeCell ref="B52:C52"/>
    <mergeCell ref="B46:C46"/>
    <mergeCell ref="B47:C47"/>
    <mergeCell ref="B48:C48"/>
    <mergeCell ref="B42:C42"/>
    <mergeCell ref="B43:C43"/>
    <mergeCell ref="B44:C44"/>
  </mergeCells>
  <phoneticPr fontId="1"/>
  <pageMargins left="0.28000000000000003" right="0.18" top="0.37" bottom="0" header="0.37" footer="0"/>
  <pageSetup paperSize="9"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A253-E3EE-48FF-A59A-0844E163D8E0}">
  <dimension ref="A2:O53"/>
  <sheetViews>
    <sheetView view="pageBreakPreview" topLeftCell="A10" zoomScaleNormal="100" zoomScaleSheetLayoutView="100" workbookViewId="0">
      <selection activeCell="F14" sqref="F14"/>
    </sheetView>
  </sheetViews>
  <sheetFormatPr defaultColWidth="9" defaultRowHeight="15"/>
  <cols>
    <col min="1" max="1" width="6.625" style="3" customWidth="1"/>
    <col min="2" max="2" width="23.375" style="3" customWidth="1"/>
    <col min="3" max="3" width="28.375" style="3" customWidth="1"/>
    <col min="4" max="5" width="9" style="3"/>
    <col min="6" max="6" width="19.375" style="3" customWidth="1"/>
    <col min="7" max="14" width="10.375" style="3" customWidth="1"/>
    <col min="15" max="15" width="17.375" style="3" customWidth="1"/>
    <col min="16" max="16384" width="9" style="3"/>
  </cols>
  <sheetData>
    <row r="2" spans="1:15" ht="44.25" customHeight="1">
      <c r="A2" s="293" t="s">
        <v>80</v>
      </c>
      <c r="B2" s="293" t="s">
        <v>81</v>
      </c>
      <c r="C2" s="293"/>
      <c r="D2" s="293" t="s">
        <v>82</v>
      </c>
      <c r="E2" s="294" t="s">
        <v>83</v>
      </c>
      <c r="F2" s="293" t="s">
        <v>84</v>
      </c>
      <c r="G2" s="294" t="s">
        <v>85</v>
      </c>
      <c r="H2" s="293" t="s">
        <v>86</v>
      </c>
      <c r="I2" s="293" t="s">
        <v>87</v>
      </c>
      <c r="J2" s="293" t="s">
        <v>88</v>
      </c>
      <c r="K2" s="293" t="s">
        <v>89</v>
      </c>
      <c r="L2" s="293" t="s">
        <v>90</v>
      </c>
      <c r="M2" s="295" t="s">
        <v>91</v>
      </c>
      <c r="N2" s="296" t="s">
        <v>92</v>
      </c>
      <c r="O2" s="3" t="s">
        <v>93</v>
      </c>
    </row>
    <row r="3" spans="1:15" ht="20.100000000000001" customHeight="1">
      <c r="A3" s="125">
        <v>1</v>
      </c>
      <c r="B3" s="297" t="s">
        <v>50</v>
      </c>
      <c r="C3" s="298" t="s">
        <v>94</v>
      </c>
      <c r="D3" s="299">
        <v>6.55</v>
      </c>
      <c r="E3" s="300">
        <v>412</v>
      </c>
      <c r="F3" s="301">
        <v>40</v>
      </c>
      <c r="G3" s="302">
        <f>_xlfn.IFNA(VLOOKUP(データ!B3,[1]INVOICE!$B$33:$K$50,6,FALSE),0)</f>
        <v>300</v>
      </c>
      <c r="H3" s="302">
        <f>ROUNDUP(G3/F3,0)</f>
        <v>8</v>
      </c>
      <c r="I3" s="303">
        <f>G3*E3/1000</f>
        <v>123.6</v>
      </c>
      <c r="J3" s="304"/>
      <c r="K3" s="304">
        <f>H3*0.7</f>
        <v>5.6</v>
      </c>
      <c r="L3" s="305">
        <f>K3+J3+I3</f>
        <v>129.19999999999999</v>
      </c>
      <c r="M3" s="306">
        <v>18</v>
      </c>
      <c r="N3" s="305" t="s">
        <v>95</v>
      </c>
      <c r="O3" s="3" t="s">
        <v>96</v>
      </c>
    </row>
    <row r="4" spans="1:15" ht="20.100000000000001" customHeight="1">
      <c r="A4" s="125">
        <v>2</v>
      </c>
      <c r="B4" s="297" t="s">
        <v>97</v>
      </c>
      <c r="C4" s="307" t="s">
        <v>98</v>
      </c>
      <c r="D4" s="308">
        <v>8.67</v>
      </c>
      <c r="E4" s="300">
        <v>412</v>
      </c>
      <c r="F4" s="301">
        <v>46</v>
      </c>
      <c r="G4" s="302">
        <f>_xlfn.IFNA(VLOOKUP(データ!B4,[1]INVOICE!$B$33:$K$50,6,FALSE),0)</f>
        <v>0</v>
      </c>
      <c r="H4" s="302">
        <f t="shared" ref="H4:H6" si="0">ROUNDUP(G4/F4,0)</f>
        <v>0</v>
      </c>
      <c r="I4" s="303">
        <f t="shared" ref="I4:I48" si="1">G4*E4/1000</f>
        <v>0</v>
      </c>
      <c r="J4" s="304"/>
      <c r="K4" s="304">
        <f t="shared" ref="K4:K53" si="2">H4*0.7</f>
        <v>0</v>
      </c>
      <c r="L4" s="305">
        <f t="shared" ref="L4:L25" si="3">K4+J4+I4</f>
        <v>0</v>
      </c>
      <c r="M4" s="306">
        <v>18</v>
      </c>
      <c r="N4" s="305" t="s">
        <v>95</v>
      </c>
      <c r="O4" s="3" t="s">
        <v>99</v>
      </c>
    </row>
    <row r="5" spans="1:15" ht="20.100000000000001" customHeight="1">
      <c r="A5" s="125">
        <v>3</v>
      </c>
      <c r="B5" s="297" t="s">
        <v>51</v>
      </c>
      <c r="C5" s="307" t="s">
        <v>98</v>
      </c>
      <c r="D5" s="308">
        <v>9.8800000000000008</v>
      </c>
      <c r="E5" s="300">
        <v>412</v>
      </c>
      <c r="F5" s="301">
        <v>46</v>
      </c>
      <c r="G5" s="302">
        <f>_xlfn.IFNA(VLOOKUP(データ!B5,[1]INVOICE!$B$33:$K$50,6,FALSE),0)</f>
        <v>300</v>
      </c>
      <c r="H5" s="302">
        <f t="shared" si="0"/>
        <v>7</v>
      </c>
      <c r="I5" s="303">
        <f t="shared" si="1"/>
        <v>123.6</v>
      </c>
      <c r="J5" s="304"/>
      <c r="K5" s="304">
        <f t="shared" si="2"/>
        <v>4.8999999999999995</v>
      </c>
      <c r="L5" s="305">
        <f t="shared" si="3"/>
        <v>128.5</v>
      </c>
      <c r="M5" s="306">
        <v>18</v>
      </c>
      <c r="N5" s="305" t="s">
        <v>95</v>
      </c>
      <c r="O5" s="3" t="s">
        <v>99</v>
      </c>
    </row>
    <row r="6" spans="1:15" ht="20.100000000000001" customHeight="1">
      <c r="A6" s="125">
        <f t="shared" ref="A6:A53" si="4">A5+1</f>
        <v>4</v>
      </c>
      <c r="B6" s="297" t="s">
        <v>100</v>
      </c>
      <c r="C6" s="307" t="s">
        <v>101</v>
      </c>
      <c r="D6" s="309">
        <v>4.2699999999999996</v>
      </c>
      <c r="E6" s="300">
        <v>360</v>
      </c>
      <c r="F6" s="301">
        <v>68</v>
      </c>
      <c r="G6" s="302">
        <f>_xlfn.IFNA(VLOOKUP(データ!B6,[1]INVOICE!$B$33:$K$50,6,FALSE),0)</f>
        <v>0</v>
      </c>
      <c r="H6" s="302">
        <f t="shared" si="0"/>
        <v>0</v>
      </c>
      <c r="I6" s="303">
        <f t="shared" si="1"/>
        <v>0</v>
      </c>
      <c r="J6" s="304"/>
      <c r="K6" s="304">
        <f t="shared" si="2"/>
        <v>0</v>
      </c>
      <c r="L6" s="305">
        <f t="shared" si="3"/>
        <v>0</v>
      </c>
      <c r="M6" s="306">
        <v>18</v>
      </c>
      <c r="N6" s="305" t="s">
        <v>95</v>
      </c>
      <c r="O6" s="3" t="s">
        <v>102</v>
      </c>
    </row>
    <row r="7" spans="1:15" ht="20.100000000000001" customHeight="1">
      <c r="A7" s="125">
        <f t="shared" si="4"/>
        <v>5</v>
      </c>
      <c r="B7" s="310" t="s">
        <v>103</v>
      </c>
      <c r="C7" s="307" t="s">
        <v>101</v>
      </c>
      <c r="D7" s="308">
        <v>7.8</v>
      </c>
      <c r="E7" s="300">
        <v>706</v>
      </c>
      <c r="F7" s="301">
        <v>34</v>
      </c>
      <c r="G7" s="302">
        <f>_xlfn.IFNA(VLOOKUP(データ!B7,[1]INVOICE!$B$33:$K$50,6,FALSE),0)</f>
        <v>0</v>
      </c>
      <c r="H7" s="302">
        <f>ROUNDUP(G7/F7,0)</f>
        <v>0</v>
      </c>
      <c r="I7" s="303">
        <f t="shared" si="1"/>
        <v>0</v>
      </c>
      <c r="J7" s="304"/>
      <c r="K7" s="304">
        <f t="shared" si="2"/>
        <v>0</v>
      </c>
      <c r="L7" s="305">
        <f t="shared" si="3"/>
        <v>0</v>
      </c>
      <c r="M7" s="306">
        <v>24</v>
      </c>
      <c r="N7" s="305" t="s">
        <v>95</v>
      </c>
      <c r="O7" s="3" t="s">
        <v>104</v>
      </c>
    </row>
    <row r="8" spans="1:15" ht="20.100000000000001" customHeight="1">
      <c r="A8" s="125">
        <f>A7+1</f>
        <v>6</v>
      </c>
      <c r="B8" s="310" t="s">
        <v>105</v>
      </c>
      <c r="C8" s="298" t="s">
        <v>106</v>
      </c>
      <c r="D8" s="311">
        <v>4.1900000000000004</v>
      </c>
      <c r="E8" s="312">
        <v>156</v>
      </c>
      <c r="F8" s="301">
        <v>80</v>
      </c>
      <c r="G8" s="302">
        <f>_xlfn.IFNA(VLOOKUP(データ!B8,[1]INVOICE!$B$33:$K$50,6,FALSE),0)</f>
        <v>0</v>
      </c>
      <c r="H8" s="302">
        <f t="shared" ref="H8:H36" si="5">ROUNDUP(G8/F8,0)</f>
        <v>0</v>
      </c>
      <c r="I8" s="303">
        <f t="shared" si="1"/>
        <v>0</v>
      </c>
      <c r="J8" s="304"/>
      <c r="K8" s="304">
        <f t="shared" si="2"/>
        <v>0</v>
      </c>
      <c r="L8" s="305">
        <f t="shared" si="3"/>
        <v>0</v>
      </c>
      <c r="M8" s="306">
        <v>32</v>
      </c>
      <c r="N8" s="305" t="s">
        <v>95</v>
      </c>
    </row>
    <row r="9" spans="1:15" ht="20.100000000000001" customHeight="1">
      <c r="A9" s="125">
        <f t="shared" si="4"/>
        <v>7</v>
      </c>
      <c r="B9" s="297" t="s">
        <v>107</v>
      </c>
      <c r="C9" s="298" t="s">
        <v>108</v>
      </c>
      <c r="D9" s="313">
        <v>6.22</v>
      </c>
      <c r="E9" s="312">
        <v>212</v>
      </c>
      <c r="F9" s="301">
        <v>26</v>
      </c>
      <c r="G9" s="302">
        <f>_xlfn.IFNA(VLOOKUP(データ!B9,[1]INVOICE!$B$33:$K$50,6,FALSE),0)</f>
        <v>0</v>
      </c>
      <c r="H9" s="302">
        <f t="shared" si="5"/>
        <v>0</v>
      </c>
      <c r="I9" s="303">
        <f t="shared" si="1"/>
        <v>0</v>
      </c>
      <c r="J9" s="304"/>
      <c r="K9" s="304">
        <f t="shared" si="2"/>
        <v>0</v>
      </c>
      <c r="L9" s="305">
        <f t="shared" si="3"/>
        <v>0</v>
      </c>
      <c r="M9" s="306">
        <v>32</v>
      </c>
      <c r="N9" s="305" t="s">
        <v>95</v>
      </c>
      <c r="O9" s="3" t="s">
        <v>109</v>
      </c>
    </row>
    <row r="10" spans="1:15" ht="20.100000000000001" customHeight="1">
      <c r="A10" s="125">
        <f t="shared" si="4"/>
        <v>8</v>
      </c>
      <c r="B10" s="297" t="s">
        <v>110</v>
      </c>
      <c r="C10" s="298" t="s">
        <v>111</v>
      </c>
      <c r="D10" s="313">
        <v>5.84</v>
      </c>
      <c r="E10" s="312">
        <v>212</v>
      </c>
      <c r="F10" s="301">
        <v>26</v>
      </c>
      <c r="G10" s="302">
        <f>_xlfn.IFNA(VLOOKUP(データ!B10,[1]INVOICE!$B$33:$K$50,6,FALSE),0)</f>
        <v>0</v>
      </c>
      <c r="H10" s="302">
        <f t="shared" si="5"/>
        <v>0</v>
      </c>
      <c r="I10" s="303">
        <f t="shared" si="1"/>
        <v>0</v>
      </c>
      <c r="J10" s="304"/>
      <c r="K10" s="304">
        <f t="shared" si="2"/>
        <v>0</v>
      </c>
      <c r="L10" s="305">
        <f t="shared" si="3"/>
        <v>0</v>
      </c>
      <c r="M10" s="306">
        <v>32</v>
      </c>
      <c r="N10" s="305" t="s">
        <v>95</v>
      </c>
      <c r="O10" s="3" t="s">
        <v>109</v>
      </c>
    </row>
    <row r="11" spans="1:15" ht="20.100000000000001" customHeight="1">
      <c r="A11" s="125"/>
      <c r="B11" s="310" t="s">
        <v>112</v>
      </c>
      <c r="C11" s="314" t="s">
        <v>113</v>
      </c>
      <c r="D11" s="313">
        <v>6.84</v>
      </c>
      <c r="E11" s="300">
        <v>250</v>
      </c>
      <c r="F11" s="301">
        <v>60</v>
      </c>
      <c r="G11" s="302">
        <f>_xlfn.IFNA(VLOOKUP(データ!B11,[1]INVOICE!$B$33:$K$50,6,FALSE),0)</f>
        <v>0</v>
      </c>
      <c r="H11" s="302">
        <f t="shared" si="5"/>
        <v>0</v>
      </c>
      <c r="I11" s="303">
        <f t="shared" si="1"/>
        <v>0</v>
      </c>
      <c r="J11" s="304"/>
      <c r="K11" s="304">
        <f t="shared" si="2"/>
        <v>0</v>
      </c>
      <c r="L11" s="305">
        <f t="shared" si="3"/>
        <v>0</v>
      </c>
      <c r="M11" s="306">
        <v>19</v>
      </c>
      <c r="N11" s="305" t="s">
        <v>95</v>
      </c>
    </row>
    <row r="12" spans="1:15" ht="20.100000000000001" customHeight="1">
      <c r="A12" s="125"/>
      <c r="B12" s="310" t="s">
        <v>114</v>
      </c>
      <c r="C12" s="314" t="s">
        <v>115</v>
      </c>
      <c r="D12" s="313">
        <v>6.84</v>
      </c>
      <c r="E12" s="300">
        <v>250</v>
      </c>
      <c r="F12" s="301">
        <v>60</v>
      </c>
      <c r="G12" s="302">
        <f>_xlfn.IFNA(VLOOKUP(データ!B12,[1]INVOICE!$B$33:$K$50,6,FALSE),0)</f>
        <v>0</v>
      </c>
      <c r="H12" s="302">
        <f t="shared" si="5"/>
        <v>0</v>
      </c>
      <c r="I12" s="303">
        <f t="shared" si="1"/>
        <v>0</v>
      </c>
      <c r="J12" s="304"/>
      <c r="K12" s="304">
        <f t="shared" si="2"/>
        <v>0</v>
      </c>
      <c r="L12" s="305">
        <f t="shared" si="3"/>
        <v>0</v>
      </c>
      <c r="M12" s="306">
        <v>21</v>
      </c>
      <c r="N12" s="305" t="s">
        <v>95</v>
      </c>
    </row>
    <row r="13" spans="1:15" ht="20.100000000000001" customHeight="1">
      <c r="A13" s="125" t="e">
        <f>#REF!+1</f>
        <v>#REF!</v>
      </c>
      <c r="B13" s="310" t="s">
        <v>116</v>
      </c>
      <c r="C13" s="315" t="s">
        <v>117</v>
      </c>
      <c r="D13" s="316">
        <v>4.2699999999999996</v>
      </c>
      <c r="E13" s="300">
        <v>220</v>
      </c>
      <c r="F13" s="301">
        <v>70</v>
      </c>
      <c r="G13" s="302">
        <f>_xlfn.IFNA(VLOOKUP(データ!B13,[1]INVOICE!$B$33:$K$50,6,FALSE),0)</f>
        <v>0</v>
      </c>
      <c r="H13" s="302">
        <f t="shared" si="5"/>
        <v>0</v>
      </c>
      <c r="I13" s="303">
        <f t="shared" si="1"/>
        <v>0</v>
      </c>
      <c r="J13" s="304"/>
      <c r="K13" s="304">
        <f t="shared" si="2"/>
        <v>0</v>
      </c>
      <c r="L13" s="305">
        <f t="shared" si="3"/>
        <v>0</v>
      </c>
      <c r="M13" s="306">
        <v>18</v>
      </c>
      <c r="N13" s="305" t="s">
        <v>95</v>
      </c>
    </row>
    <row r="14" spans="1:15" ht="20.100000000000001" customHeight="1">
      <c r="A14" s="125"/>
      <c r="B14" s="310" t="s">
        <v>118</v>
      </c>
      <c r="C14" s="315" t="s">
        <v>117</v>
      </c>
      <c r="D14" s="316">
        <v>4.2699999999999996</v>
      </c>
      <c r="E14" s="300">
        <v>220</v>
      </c>
      <c r="F14" s="301">
        <v>70</v>
      </c>
      <c r="G14" s="302">
        <f>_xlfn.IFNA(VLOOKUP(データ!B14,[1]INVOICE!$B$33:$K$50,6,FALSE),0)</f>
        <v>0</v>
      </c>
      <c r="H14" s="302">
        <f t="shared" si="5"/>
        <v>0</v>
      </c>
      <c r="I14" s="303">
        <f t="shared" si="1"/>
        <v>0</v>
      </c>
      <c r="J14" s="304"/>
      <c r="K14" s="304">
        <f t="shared" si="2"/>
        <v>0</v>
      </c>
      <c r="L14" s="305">
        <f t="shared" si="3"/>
        <v>0</v>
      </c>
      <c r="M14" s="306">
        <v>19</v>
      </c>
      <c r="N14" s="305" t="s">
        <v>95</v>
      </c>
    </row>
    <row r="15" spans="1:15" ht="20.100000000000001" customHeight="1">
      <c r="A15" s="125"/>
      <c r="B15" s="310" t="s">
        <v>119</v>
      </c>
      <c r="C15" s="315" t="s">
        <v>117</v>
      </c>
      <c r="D15" s="316">
        <v>4.2699999999999996</v>
      </c>
      <c r="E15" s="300">
        <v>220</v>
      </c>
      <c r="F15" s="301">
        <v>70</v>
      </c>
      <c r="G15" s="302">
        <f>_xlfn.IFNA(VLOOKUP(データ!B15,[1]INVOICE!$B$33:$K$50,6,FALSE),0)</f>
        <v>0</v>
      </c>
      <c r="H15" s="302">
        <f t="shared" si="5"/>
        <v>0</v>
      </c>
      <c r="I15" s="303">
        <f t="shared" si="1"/>
        <v>0</v>
      </c>
      <c r="J15" s="304"/>
      <c r="K15" s="304">
        <f t="shared" si="2"/>
        <v>0</v>
      </c>
      <c r="L15" s="305">
        <f t="shared" si="3"/>
        <v>0</v>
      </c>
      <c r="M15" s="306">
        <v>19</v>
      </c>
      <c r="N15" s="305" t="s">
        <v>95</v>
      </c>
    </row>
    <row r="16" spans="1:15" ht="20.100000000000001" customHeight="1">
      <c r="A16" s="125"/>
      <c r="B16" s="310" t="s">
        <v>69</v>
      </c>
      <c r="C16" s="315" t="s">
        <v>117</v>
      </c>
      <c r="D16" s="316">
        <v>4.2699999999999996</v>
      </c>
      <c r="E16" s="300">
        <v>220</v>
      </c>
      <c r="F16" s="301">
        <v>80</v>
      </c>
      <c r="G16" s="302">
        <f>_xlfn.IFNA(VLOOKUP(データ!B16,[1]INVOICE!$B$33:$K$50,6,FALSE),0)</f>
        <v>13</v>
      </c>
      <c r="H16" s="302">
        <f t="shared" si="5"/>
        <v>1</v>
      </c>
      <c r="I16" s="303">
        <f t="shared" si="1"/>
        <v>2.86</v>
      </c>
      <c r="J16" s="304"/>
      <c r="K16" s="304">
        <f t="shared" si="2"/>
        <v>0.7</v>
      </c>
      <c r="L16" s="305">
        <f t="shared" si="3"/>
        <v>3.5599999999999996</v>
      </c>
      <c r="M16" s="306">
        <v>19</v>
      </c>
      <c r="N16" s="305" t="s">
        <v>95</v>
      </c>
    </row>
    <row r="17" spans="1:15" ht="20.100000000000001" customHeight="1">
      <c r="A17" s="125" t="e">
        <f>A13+1</f>
        <v>#REF!</v>
      </c>
      <c r="B17" s="310" t="s">
        <v>120</v>
      </c>
      <c r="C17" s="315" t="s">
        <v>117</v>
      </c>
      <c r="D17" s="316">
        <v>7.94</v>
      </c>
      <c r="E17" s="300">
        <v>410</v>
      </c>
      <c r="F17" s="301">
        <v>40</v>
      </c>
      <c r="G17" s="302">
        <f>_xlfn.IFNA(VLOOKUP(データ!B17,[1]INVOICE!$B$33:$K$50,6,FALSE),0)</f>
        <v>0</v>
      </c>
      <c r="H17" s="302">
        <f t="shared" si="5"/>
        <v>0</v>
      </c>
      <c r="I17" s="303">
        <f t="shared" si="1"/>
        <v>0</v>
      </c>
      <c r="J17" s="304"/>
      <c r="K17" s="304">
        <f t="shared" si="2"/>
        <v>0</v>
      </c>
      <c r="L17" s="305">
        <f t="shared" si="3"/>
        <v>0</v>
      </c>
      <c r="M17" s="306">
        <v>24</v>
      </c>
      <c r="N17" s="305" t="s">
        <v>95</v>
      </c>
    </row>
    <row r="18" spans="1:15" ht="20.100000000000001" customHeight="1">
      <c r="A18" s="125"/>
      <c r="B18" s="310" t="s">
        <v>121</v>
      </c>
      <c r="C18" s="315" t="s">
        <v>117</v>
      </c>
      <c r="D18" s="316">
        <v>7.94</v>
      </c>
      <c r="E18" s="300">
        <v>410</v>
      </c>
      <c r="F18" s="301">
        <v>40</v>
      </c>
      <c r="G18" s="302">
        <f>_xlfn.IFNA(VLOOKUP(データ!B18,[1]INVOICE!$B$33:$K$50,6,FALSE),0)</f>
        <v>0</v>
      </c>
      <c r="H18" s="302">
        <f t="shared" si="5"/>
        <v>0</v>
      </c>
      <c r="I18" s="303">
        <f t="shared" si="1"/>
        <v>0</v>
      </c>
      <c r="J18" s="304"/>
      <c r="K18" s="304">
        <f t="shared" si="2"/>
        <v>0</v>
      </c>
      <c r="L18" s="305">
        <f t="shared" si="3"/>
        <v>0</v>
      </c>
      <c r="M18" s="306">
        <v>25</v>
      </c>
      <c r="N18" s="305" t="s">
        <v>95</v>
      </c>
    </row>
    <row r="19" spans="1:15" ht="20.100000000000001" customHeight="1">
      <c r="A19" s="125" t="e">
        <f t="shared" ref="A19" si="6">A17+1</f>
        <v>#REF!</v>
      </c>
      <c r="B19" s="310" t="s">
        <v>122</v>
      </c>
      <c r="C19" s="315" t="s">
        <v>123</v>
      </c>
      <c r="D19" s="317">
        <v>2.46</v>
      </c>
      <c r="E19" s="300">
        <v>100</v>
      </c>
      <c r="F19" s="301">
        <v>170</v>
      </c>
      <c r="G19" s="302">
        <f>_xlfn.IFNA(VLOOKUP(データ!B19,[1]INVOICE!$B$33:$K$50,6,FALSE),0)</f>
        <v>0</v>
      </c>
      <c r="H19" s="302">
        <f t="shared" si="5"/>
        <v>0</v>
      </c>
      <c r="I19" s="303">
        <f t="shared" si="1"/>
        <v>0</v>
      </c>
      <c r="J19" s="304"/>
      <c r="K19" s="304">
        <f t="shared" si="2"/>
        <v>0</v>
      </c>
      <c r="L19" s="305">
        <f t="shared" si="3"/>
        <v>0</v>
      </c>
      <c r="M19" s="306">
        <v>26</v>
      </c>
      <c r="N19" s="305" t="s">
        <v>95</v>
      </c>
      <c r="O19" s="3" t="s">
        <v>124</v>
      </c>
    </row>
    <row r="20" spans="1:15" ht="20.100000000000001" customHeight="1">
      <c r="A20" s="125"/>
      <c r="B20" s="318" t="s">
        <v>125</v>
      </c>
      <c r="C20" s="318" t="s">
        <v>126</v>
      </c>
      <c r="D20" s="317">
        <v>7.94</v>
      </c>
      <c r="E20" s="319">
        <v>414</v>
      </c>
      <c r="F20" s="301">
        <v>40</v>
      </c>
      <c r="G20" s="302">
        <f>_xlfn.IFNA(VLOOKUP(データ!B20,[1]INVOICE!$B$33:$K$50,6,FALSE),0)</f>
        <v>0</v>
      </c>
      <c r="H20" s="302">
        <f t="shared" si="5"/>
        <v>0</v>
      </c>
      <c r="I20" s="303">
        <f t="shared" si="1"/>
        <v>0</v>
      </c>
      <c r="J20" s="304"/>
      <c r="K20" s="304">
        <f t="shared" si="2"/>
        <v>0</v>
      </c>
      <c r="L20" s="305">
        <f t="shared" si="3"/>
        <v>0</v>
      </c>
      <c r="M20" s="306">
        <v>28</v>
      </c>
      <c r="N20" s="305" t="s">
        <v>95</v>
      </c>
    </row>
    <row r="21" spans="1:15" ht="20.100000000000001" customHeight="1">
      <c r="A21" s="125"/>
      <c r="B21" s="318" t="s">
        <v>58</v>
      </c>
      <c r="C21" s="318" t="s">
        <v>127</v>
      </c>
      <c r="D21" s="317">
        <v>7.94</v>
      </c>
      <c r="E21" s="319">
        <v>414</v>
      </c>
      <c r="F21" s="301">
        <v>40</v>
      </c>
      <c r="G21" s="302">
        <f>_xlfn.IFNA(VLOOKUP(データ!B21,[1]INVOICE!$B$33:$K$50,6,FALSE),0)</f>
        <v>640</v>
      </c>
      <c r="H21" s="302">
        <f t="shared" si="5"/>
        <v>16</v>
      </c>
      <c r="I21" s="303">
        <f t="shared" si="1"/>
        <v>264.95999999999998</v>
      </c>
      <c r="J21" s="304"/>
      <c r="K21" s="304">
        <f t="shared" si="2"/>
        <v>11.2</v>
      </c>
      <c r="L21" s="305">
        <f t="shared" si="3"/>
        <v>276.15999999999997</v>
      </c>
      <c r="M21" s="306">
        <v>28</v>
      </c>
      <c r="N21" s="305" t="s">
        <v>95</v>
      </c>
    </row>
    <row r="22" spans="1:15" ht="20.100000000000001" customHeight="1">
      <c r="A22" s="125"/>
      <c r="B22" s="318" t="s">
        <v>48</v>
      </c>
      <c r="C22" s="318" t="s">
        <v>128</v>
      </c>
      <c r="D22" s="317">
        <v>11.04</v>
      </c>
      <c r="E22" s="300">
        <v>470</v>
      </c>
      <c r="F22" s="301">
        <v>42</v>
      </c>
      <c r="G22" s="302">
        <f>_xlfn.IFNA(VLOOKUP(データ!B22,[1]INVOICE!$B$33:$K$50,6,FALSE),0)</f>
        <v>329</v>
      </c>
      <c r="H22" s="302">
        <f t="shared" si="5"/>
        <v>8</v>
      </c>
      <c r="I22" s="303">
        <f t="shared" si="1"/>
        <v>154.63</v>
      </c>
      <c r="J22" s="304"/>
      <c r="K22" s="304">
        <f t="shared" si="2"/>
        <v>5.6</v>
      </c>
      <c r="L22" s="305">
        <f t="shared" si="3"/>
        <v>160.22999999999999</v>
      </c>
      <c r="M22" s="306">
        <v>30</v>
      </c>
      <c r="N22" s="305" t="s">
        <v>95</v>
      </c>
    </row>
    <row r="23" spans="1:15" ht="20.100000000000001" customHeight="1">
      <c r="A23" s="125"/>
      <c r="B23" s="318" t="s">
        <v>129</v>
      </c>
      <c r="C23" s="318" t="s">
        <v>130</v>
      </c>
      <c r="D23" s="316">
        <v>11.04</v>
      </c>
      <c r="E23" s="300">
        <v>470</v>
      </c>
      <c r="F23" s="301">
        <v>42</v>
      </c>
      <c r="G23" s="302">
        <f>_xlfn.IFNA(VLOOKUP(データ!B23,[1]INVOICE!$B$33:$K$50,6,FALSE),0)</f>
        <v>0</v>
      </c>
      <c r="H23" s="302">
        <f t="shared" si="5"/>
        <v>0</v>
      </c>
      <c r="I23" s="303">
        <f t="shared" si="1"/>
        <v>0</v>
      </c>
      <c r="J23" s="304"/>
      <c r="K23" s="304">
        <f t="shared" si="2"/>
        <v>0</v>
      </c>
      <c r="L23" s="305">
        <f t="shared" si="3"/>
        <v>0</v>
      </c>
      <c r="M23" s="306">
        <v>30</v>
      </c>
      <c r="N23" s="305" t="s">
        <v>95</v>
      </c>
    </row>
    <row r="24" spans="1:15" ht="20.100000000000001" customHeight="1">
      <c r="A24" s="125"/>
      <c r="B24" s="318" t="s">
        <v>49</v>
      </c>
      <c r="C24" s="318" t="s">
        <v>131</v>
      </c>
      <c r="D24" s="317">
        <v>11.04</v>
      </c>
      <c r="E24" s="300">
        <v>470</v>
      </c>
      <c r="F24" s="301">
        <v>42</v>
      </c>
      <c r="G24" s="302">
        <f>_xlfn.IFNA(VLOOKUP(データ!B24,[1]INVOICE!$B$33:$K$50,6,FALSE),0)</f>
        <v>331</v>
      </c>
      <c r="H24" s="302">
        <f t="shared" si="5"/>
        <v>8</v>
      </c>
      <c r="I24" s="303">
        <f t="shared" si="1"/>
        <v>155.57</v>
      </c>
      <c r="J24" s="304"/>
      <c r="K24" s="304">
        <f t="shared" si="2"/>
        <v>5.6</v>
      </c>
      <c r="L24" s="305">
        <f t="shared" si="3"/>
        <v>161.16999999999999</v>
      </c>
      <c r="M24" s="306">
        <v>32</v>
      </c>
      <c r="N24" s="305" t="s">
        <v>95</v>
      </c>
    </row>
    <row r="25" spans="1:15" ht="20.100000000000001" customHeight="1">
      <c r="A25" s="125"/>
      <c r="B25" s="318" t="s">
        <v>132</v>
      </c>
      <c r="C25" s="318" t="s">
        <v>133</v>
      </c>
      <c r="D25" s="316">
        <v>11.04</v>
      </c>
      <c r="E25" s="300">
        <v>470</v>
      </c>
      <c r="F25" s="301">
        <v>42</v>
      </c>
      <c r="G25" s="302">
        <f>_xlfn.IFNA(VLOOKUP(データ!B25,[1]INVOICE!$B$33:$K$50,6,FALSE),0)</f>
        <v>0</v>
      </c>
      <c r="H25" s="302">
        <f t="shared" si="5"/>
        <v>0</v>
      </c>
      <c r="I25" s="303">
        <f t="shared" si="1"/>
        <v>0</v>
      </c>
      <c r="J25" s="304"/>
      <c r="K25" s="304">
        <f t="shared" si="2"/>
        <v>0</v>
      </c>
      <c r="L25" s="305">
        <f t="shared" si="3"/>
        <v>0</v>
      </c>
      <c r="M25" s="306">
        <v>32</v>
      </c>
      <c r="N25" s="305" t="s">
        <v>95</v>
      </c>
    </row>
    <row r="26" spans="1:15" s="326" customFormat="1" ht="20.100000000000001" customHeight="1">
      <c r="A26" s="125" t="e">
        <f>#REF!+1</f>
        <v>#REF!</v>
      </c>
      <c r="B26" s="320" t="s">
        <v>23</v>
      </c>
      <c r="C26" s="321" t="s">
        <v>134</v>
      </c>
      <c r="D26" s="317">
        <v>2.81</v>
      </c>
      <c r="E26" s="322">
        <v>90</v>
      </c>
      <c r="F26" s="323">
        <v>170</v>
      </c>
      <c r="G26" s="302">
        <f>_xlfn.IFNA(VLOOKUP(データ!B26,[1]INVOICE!$B$33:$K$50,6,FALSE),0)</f>
        <v>300</v>
      </c>
      <c r="H26" s="302">
        <f t="shared" si="5"/>
        <v>2</v>
      </c>
      <c r="I26" s="303">
        <f t="shared" si="1"/>
        <v>27</v>
      </c>
      <c r="J26" s="324">
        <f>G26*E26/1000</f>
        <v>27</v>
      </c>
      <c r="K26" s="304">
        <f t="shared" si="2"/>
        <v>1.4</v>
      </c>
      <c r="L26" s="324">
        <f t="shared" ref="L26:L48" si="7">H26*0.7</f>
        <v>1.4</v>
      </c>
      <c r="M26" s="325">
        <f>L26+K26+J26</f>
        <v>29.8</v>
      </c>
      <c r="N26" s="325" t="s">
        <v>95</v>
      </c>
    </row>
    <row r="27" spans="1:15" ht="20.100000000000001" customHeight="1">
      <c r="A27" s="125" t="e">
        <f t="shared" si="4"/>
        <v>#REF!</v>
      </c>
      <c r="B27" s="320" t="s">
        <v>135</v>
      </c>
      <c r="C27" s="327" t="s">
        <v>136</v>
      </c>
      <c r="D27" s="311">
        <v>4.79</v>
      </c>
      <c r="E27" s="312">
        <v>255</v>
      </c>
      <c r="F27" s="301">
        <v>80</v>
      </c>
      <c r="G27" s="302">
        <f>_xlfn.IFNA(VLOOKUP(データ!B27,[1]INVOICE!$B$33:$K$50,6,FALSE),0)</f>
        <v>0</v>
      </c>
      <c r="H27" s="302">
        <f t="shared" si="5"/>
        <v>0</v>
      </c>
      <c r="I27" s="303">
        <f t="shared" si="1"/>
        <v>0</v>
      </c>
      <c r="J27" s="304">
        <f>G27*E27/1000</f>
        <v>0</v>
      </c>
      <c r="K27" s="304">
        <f t="shared" si="2"/>
        <v>0</v>
      </c>
      <c r="L27" s="304">
        <f t="shared" si="7"/>
        <v>0</v>
      </c>
      <c r="M27" s="305">
        <f>L27+K27+J27</f>
        <v>0</v>
      </c>
      <c r="N27" s="305" t="s">
        <v>95</v>
      </c>
    </row>
    <row r="28" spans="1:15" s="332" customFormat="1" ht="20.100000000000001" customHeight="1">
      <c r="A28" s="125" t="e">
        <f t="shared" si="4"/>
        <v>#REF!</v>
      </c>
      <c r="B28" s="320" t="s">
        <v>24</v>
      </c>
      <c r="C28" s="321" t="s">
        <v>137</v>
      </c>
      <c r="D28" s="311">
        <v>6.6</v>
      </c>
      <c r="E28" s="328">
        <v>169</v>
      </c>
      <c r="F28" s="329">
        <v>50</v>
      </c>
      <c r="G28" s="302">
        <f>_xlfn.IFNA(VLOOKUP(データ!B28,[1]INVOICE!$B$33:$K$50,6,FALSE),0)</f>
        <v>300</v>
      </c>
      <c r="H28" s="302">
        <f t="shared" si="5"/>
        <v>6</v>
      </c>
      <c r="I28" s="303">
        <f t="shared" si="1"/>
        <v>50.7</v>
      </c>
      <c r="J28" s="330">
        <f t="shared" ref="J28:J31" si="8">G28*E28/1000</f>
        <v>50.7</v>
      </c>
      <c r="K28" s="304">
        <f t="shared" si="2"/>
        <v>4.1999999999999993</v>
      </c>
      <c r="L28" s="330">
        <f t="shared" si="7"/>
        <v>4.1999999999999993</v>
      </c>
      <c r="M28" s="331">
        <f t="shared" ref="M28:M30" si="9">L28+K28+J28</f>
        <v>59.1</v>
      </c>
      <c r="N28" s="331" t="s">
        <v>95</v>
      </c>
    </row>
    <row r="29" spans="1:15" ht="20.100000000000001" customHeight="1">
      <c r="A29" s="125" t="e">
        <f t="shared" si="4"/>
        <v>#REF!</v>
      </c>
      <c r="B29" s="320" t="s">
        <v>25</v>
      </c>
      <c r="C29" s="321" t="s">
        <v>138</v>
      </c>
      <c r="D29" s="311">
        <v>7.61</v>
      </c>
      <c r="E29" s="312">
        <v>167</v>
      </c>
      <c r="F29" s="301">
        <v>50</v>
      </c>
      <c r="G29" s="302">
        <f>_xlfn.IFNA(VLOOKUP(データ!B29,[1]INVOICE!$B$33:$K$50,6,FALSE),0)</f>
        <v>300</v>
      </c>
      <c r="H29" s="302">
        <f t="shared" si="5"/>
        <v>6</v>
      </c>
      <c r="I29" s="303">
        <f t="shared" si="1"/>
        <v>50.1</v>
      </c>
      <c r="J29" s="304">
        <f>G29*E29/1000</f>
        <v>50.1</v>
      </c>
      <c r="K29" s="304">
        <f t="shared" si="2"/>
        <v>4.1999999999999993</v>
      </c>
      <c r="L29" s="304">
        <f t="shared" si="7"/>
        <v>4.1999999999999993</v>
      </c>
      <c r="M29" s="305">
        <f t="shared" si="9"/>
        <v>58.5</v>
      </c>
      <c r="N29" s="305" t="s">
        <v>95</v>
      </c>
      <c r="O29" s="333"/>
    </row>
    <row r="30" spans="1:15" s="326" customFormat="1" ht="20.100000000000001" customHeight="1">
      <c r="A30" s="125" t="e">
        <f t="shared" si="4"/>
        <v>#REF!</v>
      </c>
      <c r="B30" s="334" t="s">
        <v>139</v>
      </c>
      <c r="C30" s="335" t="s">
        <v>140</v>
      </c>
      <c r="D30" s="311">
        <v>6.13</v>
      </c>
      <c r="E30" s="322">
        <v>348</v>
      </c>
      <c r="F30" s="323">
        <v>40</v>
      </c>
      <c r="G30" s="302">
        <f>_xlfn.IFNA(VLOOKUP(データ!B30,[1]INVOICE!$B$33:$K$50,6,FALSE),0)</f>
        <v>0</v>
      </c>
      <c r="H30" s="302">
        <f t="shared" si="5"/>
        <v>0</v>
      </c>
      <c r="I30" s="303">
        <f t="shared" si="1"/>
        <v>0</v>
      </c>
      <c r="J30" s="324">
        <f t="shared" si="8"/>
        <v>0</v>
      </c>
      <c r="K30" s="304">
        <f t="shared" si="2"/>
        <v>0</v>
      </c>
      <c r="L30" s="324">
        <f t="shared" si="7"/>
        <v>0</v>
      </c>
      <c r="M30" s="325">
        <f t="shared" si="9"/>
        <v>0</v>
      </c>
      <c r="N30" s="325" t="s">
        <v>95</v>
      </c>
    </row>
    <row r="31" spans="1:15" ht="20.100000000000001" customHeight="1">
      <c r="A31" s="125" t="e">
        <f t="shared" si="4"/>
        <v>#REF!</v>
      </c>
      <c r="B31" s="334" t="s">
        <v>141</v>
      </c>
      <c r="C31" s="335" t="s">
        <v>142</v>
      </c>
      <c r="D31" s="308">
        <v>9.8699999999999992</v>
      </c>
      <c r="E31" s="300">
        <v>545</v>
      </c>
      <c r="F31" s="301">
        <v>46</v>
      </c>
      <c r="G31" s="302">
        <f>_xlfn.IFNA(VLOOKUP(データ!B31,[1]INVOICE!$B$33:$K$50,6,FALSE),0)</f>
        <v>0</v>
      </c>
      <c r="H31" s="302">
        <f t="shared" si="5"/>
        <v>0</v>
      </c>
      <c r="I31" s="303">
        <f t="shared" si="1"/>
        <v>0</v>
      </c>
      <c r="J31" s="304">
        <f t="shared" si="8"/>
        <v>0</v>
      </c>
      <c r="K31" s="304">
        <f t="shared" si="2"/>
        <v>0</v>
      </c>
      <c r="L31" s="304">
        <f t="shared" si="7"/>
        <v>0</v>
      </c>
      <c r="M31" s="305">
        <f>L31+K31+J31</f>
        <v>0</v>
      </c>
      <c r="N31" s="305" t="s">
        <v>95</v>
      </c>
    </row>
    <row r="32" spans="1:15" s="332" customFormat="1" ht="20.100000000000001" customHeight="1">
      <c r="A32" s="125" t="e">
        <f t="shared" si="4"/>
        <v>#REF!</v>
      </c>
      <c r="B32" s="336" t="s">
        <v>143</v>
      </c>
      <c r="C32" s="314" t="s">
        <v>144</v>
      </c>
      <c r="D32" s="337">
        <v>4.79</v>
      </c>
      <c r="E32" s="338">
        <v>233</v>
      </c>
      <c r="F32" s="329">
        <v>80</v>
      </c>
      <c r="G32" s="302">
        <f>_xlfn.IFNA(VLOOKUP(データ!B32,[1]INVOICE!$B$33:$K$50,6,FALSE),0)</f>
        <v>0</v>
      </c>
      <c r="H32" s="302">
        <f t="shared" si="5"/>
        <v>0</v>
      </c>
      <c r="I32" s="303">
        <f t="shared" si="1"/>
        <v>0</v>
      </c>
      <c r="J32" s="330">
        <f>G32*E32/1000</f>
        <v>0</v>
      </c>
      <c r="K32" s="304">
        <f t="shared" si="2"/>
        <v>0</v>
      </c>
      <c r="L32" s="330">
        <f t="shared" si="7"/>
        <v>0</v>
      </c>
      <c r="M32" s="331">
        <f t="shared" ref="M32:M48" si="10">L32+K32+J32</f>
        <v>0</v>
      </c>
      <c r="N32" s="331" t="s">
        <v>95</v>
      </c>
    </row>
    <row r="33" spans="1:14" ht="20.100000000000001" customHeight="1">
      <c r="A33" s="125" t="e">
        <f t="shared" si="4"/>
        <v>#REF!</v>
      </c>
      <c r="B33" s="318" t="s">
        <v>145</v>
      </c>
      <c r="C33" s="318" t="s">
        <v>146</v>
      </c>
      <c r="D33" s="339">
        <v>7.22</v>
      </c>
      <c r="E33" s="319">
        <v>414</v>
      </c>
      <c r="F33" s="301">
        <v>40</v>
      </c>
      <c r="G33" s="302">
        <f>_xlfn.IFNA(VLOOKUP(データ!B33,[1]INVOICE!$B$33:$K$50,6,FALSE),0)</f>
        <v>0</v>
      </c>
      <c r="H33" s="302">
        <f t="shared" si="5"/>
        <v>0</v>
      </c>
      <c r="I33" s="303">
        <f t="shared" si="1"/>
        <v>0</v>
      </c>
      <c r="J33" s="304">
        <f>G33*E33/1000-0.01</f>
        <v>-0.01</v>
      </c>
      <c r="K33" s="304">
        <f t="shared" si="2"/>
        <v>0</v>
      </c>
      <c r="L33" s="304">
        <f t="shared" si="7"/>
        <v>0</v>
      </c>
      <c r="M33" s="305">
        <f t="shared" si="10"/>
        <v>-0.01</v>
      </c>
      <c r="N33" s="305" t="s">
        <v>95</v>
      </c>
    </row>
    <row r="34" spans="1:14" ht="20.100000000000001" customHeight="1">
      <c r="A34" s="125" t="e">
        <f>A33+1</f>
        <v>#REF!</v>
      </c>
      <c r="B34" s="336" t="s">
        <v>45</v>
      </c>
      <c r="C34" s="327" t="s">
        <v>136</v>
      </c>
      <c r="D34" s="317">
        <v>5.01</v>
      </c>
      <c r="E34" s="338">
        <v>233</v>
      </c>
      <c r="F34" s="329">
        <v>80</v>
      </c>
      <c r="G34" s="302">
        <f>_xlfn.IFNA(VLOOKUP(データ!B34,[1]INVOICE!$B$33:$K$50,6,FALSE),0)</f>
        <v>300</v>
      </c>
      <c r="H34" s="302">
        <f t="shared" si="5"/>
        <v>4</v>
      </c>
      <c r="I34" s="303">
        <f t="shared" si="1"/>
        <v>69.900000000000006</v>
      </c>
      <c r="J34" s="330">
        <f>G34*E34/1000</f>
        <v>69.900000000000006</v>
      </c>
      <c r="K34" s="304">
        <f t="shared" si="2"/>
        <v>2.8</v>
      </c>
      <c r="L34" s="330">
        <f t="shared" si="7"/>
        <v>2.8</v>
      </c>
      <c r="M34" s="331">
        <f t="shared" si="10"/>
        <v>75.5</v>
      </c>
      <c r="N34" s="331" t="s">
        <v>95</v>
      </c>
    </row>
    <row r="35" spans="1:14" ht="20.100000000000001" customHeight="1">
      <c r="A35" s="125" t="e">
        <f t="shared" si="4"/>
        <v>#REF!</v>
      </c>
      <c r="B35" s="336" t="s">
        <v>46</v>
      </c>
      <c r="C35" s="327" t="s">
        <v>144</v>
      </c>
      <c r="D35" s="317">
        <v>5.01</v>
      </c>
      <c r="E35" s="338">
        <v>233</v>
      </c>
      <c r="F35" s="329">
        <v>80</v>
      </c>
      <c r="G35" s="302">
        <f>_xlfn.IFNA(VLOOKUP(データ!B35,[1]INVOICE!$B$33:$K$50,6,FALSE),0)</f>
        <v>300</v>
      </c>
      <c r="H35" s="302">
        <f t="shared" si="5"/>
        <v>4</v>
      </c>
      <c r="I35" s="303">
        <f t="shared" si="1"/>
        <v>69.900000000000006</v>
      </c>
      <c r="J35" s="330">
        <f>G35*E35/1000</f>
        <v>69.900000000000006</v>
      </c>
      <c r="K35" s="304">
        <f t="shared" si="2"/>
        <v>2.8</v>
      </c>
      <c r="L35" s="330">
        <f t="shared" si="7"/>
        <v>2.8</v>
      </c>
      <c r="M35" s="331">
        <f t="shared" si="10"/>
        <v>75.5</v>
      </c>
      <c r="N35" s="331" t="s">
        <v>95</v>
      </c>
    </row>
    <row r="36" spans="1:14" ht="20.100000000000001" customHeight="1">
      <c r="A36" s="125" t="e">
        <f>A35+1</f>
        <v>#REF!</v>
      </c>
      <c r="B36" s="336" t="s">
        <v>44</v>
      </c>
      <c r="C36" s="327" t="s">
        <v>147</v>
      </c>
      <c r="D36" s="317">
        <v>4.59</v>
      </c>
      <c r="E36" s="338">
        <v>233</v>
      </c>
      <c r="F36" s="329">
        <v>80</v>
      </c>
      <c r="G36" s="302">
        <f>_xlfn.IFNA(VLOOKUP(データ!B36,[1]INVOICE!$B$33:$K$50,6,FALSE),0)</f>
        <v>300</v>
      </c>
      <c r="H36" s="302">
        <f t="shared" si="5"/>
        <v>4</v>
      </c>
      <c r="I36" s="303">
        <f t="shared" si="1"/>
        <v>69.900000000000006</v>
      </c>
      <c r="J36" s="330">
        <f>G36*E36/1000</f>
        <v>69.900000000000006</v>
      </c>
      <c r="K36" s="304">
        <f t="shared" si="2"/>
        <v>2.8</v>
      </c>
      <c r="L36" s="330">
        <f t="shared" si="7"/>
        <v>2.8</v>
      </c>
      <c r="M36" s="331">
        <f t="shared" si="10"/>
        <v>75.5</v>
      </c>
      <c r="N36" s="331" t="s">
        <v>95</v>
      </c>
    </row>
    <row r="37" spans="1:14" ht="20.100000000000001" customHeight="1">
      <c r="A37" s="125" t="e">
        <f t="shared" si="4"/>
        <v>#REF!</v>
      </c>
      <c r="B37" s="336" t="s">
        <v>43</v>
      </c>
      <c r="C37" s="327" t="s">
        <v>148</v>
      </c>
      <c r="D37" s="317">
        <v>4.59</v>
      </c>
      <c r="E37" s="338">
        <v>233</v>
      </c>
      <c r="F37" s="329">
        <v>80</v>
      </c>
      <c r="G37" s="302">
        <f>_xlfn.IFNA(VLOOKUP(データ!B37,[1]INVOICE!$B$33:$K$50,6,FALSE),0)</f>
        <v>300</v>
      </c>
      <c r="H37" s="302">
        <f>ROUNDUP(G37/F37,0)</f>
        <v>4</v>
      </c>
      <c r="I37" s="303">
        <f t="shared" si="1"/>
        <v>69.900000000000006</v>
      </c>
      <c r="J37" s="330">
        <f>G37*E37/1000</f>
        <v>69.900000000000006</v>
      </c>
      <c r="K37" s="304">
        <f t="shared" si="2"/>
        <v>2.8</v>
      </c>
      <c r="L37" s="330">
        <f t="shared" si="7"/>
        <v>2.8</v>
      </c>
      <c r="M37" s="331">
        <f t="shared" si="10"/>
        <v>75.5</v>
      </c>
      <c r="N37" s="331" t="s">
        <v>95</v>
      </c>
    </row>
    <row r="38" spans="1:14" ht="20.100000000000001" customHeight="1">
      <c r="A38" s="125" t="e">
        <f t="shared" si="4"/>
        <v>#REF!</v>
      </c>
      <c r="B38" s="336" t="s">
        <v>55</v>
      </c>
      <c r="C38" s="336" t="s">
        <v>149</v>
      </c>
      <c r="D38" s="316">
        <v>15.07</v>
      </c>
      <c r="E38" s="340">
        <v>909</v>
      </c>
      <c r="F38" s="329">
        <v>22</v>
      </c>
      <c r="G38" s="302">
        <f>_xlfn.IFNA(VLOOKUP(データ!B38,[1]INVOICE!$B$33:$K$50,6,FALSE),0)</f>
        <v>80</v>
      </c>
      <c r="H38" s="302">
        <f t="shared" ref="H38:H48" si="11">ROUNDUP(G38/F38,0)</f>
        <v>4</v>
      </c>
      <c r="I38" s="303">
        <f t="shared" si="1"/>
        <v>72.72</v>
      </c>
      <c r="J38" s="330">
        <f t="shared" ref="J38:J48" si="12">G38*E38/1000</f>
        <v>72.72</v>
      </c>
      <c r="K38" s="304">
        <f t="shared" si="2"/>
        <v>2.8</v>
      </c>
      <c r="L38" s="330">
        <f t="shared" si="7"/>
        <v>2.8</v>
      </c>
      <c r="M38" s="331">
        <f t="shared" si="10"/>
        <v>78.319999999999993</v>
      </c>
      <c r="N38" s="331" t="s">
        <v>95</v>
      </c>
    </row>
    <row r="39" spans="1:14" ht="20.100000000000001" customHeight="1">
      <c r="A39" s="125" t="e">
        <f>A38+1</f>
        <v>#REF!</v>
      </c>
      <c r="B39" s="336" t="s">
        <v>150</v>
      </c>
      <c r="C39" s="336" t="s">
        <v>98</v>
      </c>
      <c r="D39" s="316">
        <v>17.38</v>
      </c>
      <c r="E39" s="340">
        <v>1105</v>
      </c>
      <c r="F39" s="329">
        <v>20</v>
      </c>
      <c r="G39" s="302">
        <f>_xlfn.IFNA(VLOOKUP(データ!B39,[1]INVOICE!$B$33:$K$50,6,FALSE),0)</f>
        <v>0</v>
      </c>
      <c r="H39" s="302">
        <f t="shared" si="11"/>
        <v>0</v>
      </c>
      <c r="I39" s="303">
        <f t="shared" si="1"/>
        <v>0</v>
      </c>
      <c r="J39" s="330">
        <f t="shared" si="12"/>
        <v>0</v>
      </c>
      <c r="K39" s="304">
        <f t="shared" si="2"/>
        <v>0</v>
      </c>
      <c r="L39" s="330">
        <f t="shared" si="7"/>
        <v>0</v>
      </c>
      <c r="M39" s="331">
        <f t="shared" si="10"/>
        <v>0</v>
      </c>
      <c r="N39" s="331" t="s">
        <v>95</v>
      </c>
    </row>
    <row r="40" spans="1:14" ht="20.100000000000001" customHeight="1">
      <c r="A40" s="125" t="e">
        <f t="shared" si="4"/>
        <v>#REF!</v>
      </c>
      <c r="B40" s="320" t="s">
        <v>151</v>
      </c>
      <c r="C40" s="327" t="s">
        <v>152</v>
      </c>
      <c r="D40" s="316">
        <v>10.14</v>
      </c>
      <c r="E40" s="319">
        <v>322</v>
      </c>
      <c r="F40" s="329">
        <v>36</v>
      </c>
      <c r="G40" s="302">
        <f>_xlfn.IFNA(VLOOKUP(データ!B40,[1]INVOICE!$B$33:$K$50,6,FALSE),0)</f>
        <v>0</v>
      </c>
      <c r="H40" s="302">
        <f t="shared" si="11"/>
        <v>0</v>
      </c>
      <c r="I40" s="303">
        <f t="shared" si="1"/>
        <v>0</v>
      </c>
      <c r="J40" s="330">
        <f t="shared" si="12"/>
        <v>0</v>
      </c>
      <c r="K40" s="304">
        <f t="shared" si="2"/>
        <v>0</v>
      </c>
      <c r="L40" s="330">
        <f t="shared" si="7"/>
        <v>0</v>
      </c>
      <c r="M40" s="331">
        <f t="shared" si="10"/>
        <v>0</v>
      </c>
      <c r="N40" s="331" t="s">
        <v>95</v>
      </c>
    </row>
    <row r="41" spans="1:14" ht="20.100000000000001" customHeight="1">
      <c r="A41" s="125" t="e">
        <f t="shared" si="4"/>
        <v>#REF!</v>
      </c>
      <c r="B41" s="336" t="s">
        <v>153</v>
      </c>
      <c r="C41" s="341" t="s">
        <v>154</v>
      </c>
      <c r="D41" s="316">
        <v>10.14</v>
      </c>
      <c r="E41" s="319">
        <v>322</v>
      </c>
      <c r="F41" s="329">
        <v>36</v>
      </c>
      <c r="G41" s="302">
        <f>_xlfn.IFNA(VLOOKUP(データ!B41,[1]INVOICE!$B$33:$K$50,6,FALSE),0)</f>
        <v>0</v>
      </c>
      <c r="H41" s="302">
        <f t="shared" si="11"/>
        <v>0</v>
      </c>
      <c r="I41" s="303">
        <f t="shared" si="1"/>
        <v>0</v>
      </c>
      <c r="J41" s="330">
        <f t="shared" si="12"/>
        <v>0</v>
      </c>
      <c r="K41" s="304">
        <f t="shared" si="2"/>
        <v>0</v>
      </c>
      <c r="L41" s="330">
        <f t="shared" si="7"/>
        <v>0</v>
      </c>
      <c r="M41" s="331">
        <f t="shared" si="10"/>
        <v>0</v>
      </c>
      <c r="N41" s="331" t="s">
        <v>95</v>
      </c>
    </row>
    <row r="42" spans="1:14" ht="20.100000000000001" customHeight="1">
      <c r="A42" s="125" t="e">
        <f>A41+1</f>
        <v>#REF!</v>
      </c>
      <c r="B42" s="336" t="s">
        <v>155</v>
      </c>
      <c r="C42" s="307" t="s">
        <v>156</v>
      </c>
      <c r="D42" s="316">
        <v>10.48</v>
      </c>
      <c r="E42" s="319">
        <v>638</v>
      </c>
      <c r="F42" s="329">
        <v>34</v>
      </c>
      <c r="G42" s="302">
        <f>_xlfn.IFNA(VLOOKUP(データ!B42,[1]INVOICE!$B$33:$K$50,6,FALSE),0)</f>
        <v>0</v>
      </c>
      <c r="H42" s="302">
        <f t="shared" si="11"/>
        <v>0</v>
      </c>
      <c r="I42" s="303">
        <f t="shared" si="1"/>
        <v>0</v>
      </c>
      <c r="J42" s="330">
        <f t="shared" si="12"/>
        <v>0</v>
      </c>
      <c r="K42" s="304">
        <f t="shared" si="2"/>
        <v>0</v>
      </c>
      <c r="L42" s="330">
        <f t="shared" si="7"/>
        <v>0</v>
      </c>
      <c r="M42" s="331">
        <f t="shared" si="10"/>
        <v>0</v>
      </c>
      <c r="N42" s="331" t="s">
        <v>95</v>
      </c>
    </row>
    <row r="43" spans="1:14" ht="20.100000000000001" customHeight="1">
      <c r="A43" s="125" t="e">
        <f t="shared" si="4"/>
        <v>#REF!</v>
      </c>
      <c r="B43" s="336" t="s">
        <v>52</v>
      </c>
      <c r="C43" s="307" t="s">
        <v>157</v>
      </c>
      <c r="D43" s="316">
        <v>10.48</v>
      </c>
      <c r="E43" s="319">
        <v>638</v>
      </c>
      <c r="F43" s="329">
        <v>34</v>
      </c>
      <c r="G43" s="302">
        <f>_xlfn.IFNA(VLOOKUP(データ!B43,[1]INVOICE!$B$33:$K$50,6,FALSE),0)</f>
        <v>320</v>
      </c>
      <c r="H43" s="302">
        <f t="shared" si="11"/>
        <v>10</v>
      </c>
      <c r="I43" s="303">
        <f t="shared" si="1"/>
        <v>204.16</v>
      </c>
      <c r="J43" s="330">
        <f t="shared" si="12"/>
        <v>204.16</v>
      </c>
      <c r="K43" s="304">
        <f t="shared" si="2"/>
        <v>7</v>
      </c>
      <c r="L43" s="330">
        <f t="shared" si="7"/>
        <v>7</v>
      </c>
      <c r="M43" s="331">
        <f t="shared" si="10"/>
        <v>218.16</v>
      </c>
      <c r="N43" s="331" t="s">
        <v>95</v>
      </c>
    </row>
    <row r="44" spans="1:14" ht="15.75">
      <c r="A44" s="125" t="e">
        <f t="shared" si="4"/>
        <v>#REF!</v>
      </c>
      <c r="B44" s="336" t="s">
        <v>53</v>
      </c>
      <c r="C44" s="342" t="s">
        <v>111</v>
      </c>
      <c r="D44" s="316">
        <v>13.28</v>
      </c>
      <c r="E44" s="319">
        <v>379</v>
      </c>
      <c r="F44" s="329">
        <v>20</v>
      </c>
      <c r="G44" s="302">
        <f>_xlfn.IFNA(VLOOKUP(データ!B44,[1]INVOICE!$B$33:$K$50,6,FALSE),0)</f>
        <v>323</v>
      </c>
      <c r="H44" s="302">
        <f t="shared" si="11"/>
        <v>17</v>
      </c>
      <c r="I44" s="303">
        <f t="shared" si="1"/>
        <v>122.417</v>
      </c>
      <c r="J44" s="330">
        <f t="shared" si="12"/>
        <v>122.417</v>
      </c>
      <c r="K44" s="304">
        <f t="shared" si="2"/>
        <v>11.899999999999999</v>
      </c>
      <c r="L44" s="330">
        <f t="shared" si="7"/>
        <v>11.899999999999999</v>
      </c>
      <c r="M44" s="331">
        <f t="shared" si="10"/>
        <v>146.21699999999998</v>
      </c>
      <c r="N44" s="331" t="s">
        <v>95</v>
      </c>
    </row>
    <row r="45" spans="1:14" ht="15.75">
      <c r="A45" s="125" t="e">
        <f>A44+1</f>
        <v>#REF!</v>
      </c>
      <c r="B45" s="336" t="s">
        <v>54</v>
      </c>
      <c r="C45" s="342" t="s">
        <v>158</v>
      </c>
      <c r="D45" s="316">
        <v>12.36</v>
      </c>
      <c r="E45" s="319">
        <v>372</v>
      </c>
      <c r="F45" s="329">
        <v>20</v>
      </c>
      <c r="G45" s="302">
        <f>_xlfn.IFNA(VLOOKUP(データ!B45,[1]INVOICE!$B$33:$K$50,6,FALSE),0)</f>
        <v>6</v>
      </c>
      <c r="H45" s="302">
        <f t="shared" si="11"/>
        <v>1</v>
      </c>
      <c r="I45" s="303">
        <f t="shared" si="1"/>
        <v>2.2320000000000002</v>
      </c>
      <c r="J45" s="330">
        <f t="shared" si="12"/>
        <v>2.2320000000000002</v>
      </c>
      <c r="K45" s="304">
        <f t="shared" si="2"/>
        <v>0.7</v>
      </c>
      <c r="L45" s="330">
        <f t="shared" si="7"/>
        <v>0.7</v>
      </c>
      <c r="M45" s="331">
        <f t="shared" si="10"/>
        <v>3.6320000000000001</v>
      </c>
      <c r="N45" s="331" t="s">
        <v>95</v>
      </c>
    </row>
    <row r="46" spans="1:14" ht="15.75">
      <c r="A46" s="125" t="e">
        <f t="shared" ref="A46" si="13">A45+1</f>
        <v>#REF!</v>
      </c>
      <c r="B46" s="343" t="s">
        <v>129</v>
      </c>
      <c r="C46" s="344" t="s">
        <v>113</v>
      </c>
      <c r="D46" s="316">
        <v>11.04</v>
      </c>
      <c r="E46" s="300">
        <v>466</v>
      </c>
      <c r="F46" s="329">
        <v>42</v>
      </c>
      <c r="G46" s="302">
        <f>_xlfn.IFNA(VLOOKUP(データ!B46,[1]INVOICE!$B$33:$K$50,6,FALSE),0)</f>
        <v>0</v>
      </c>
      <c r="H46" s="302">
        <f t="shared" si="11"/>
        <v>0</v>
      </c>
      <c r="I46" s="303">
        <f t="shared" si="1"/>
        <v>0</v>
      </c>
      <c r="J46" s="330">
        <f t="shared" si="12"/>
        <v>0</v>
      </c>
      <c r="K46" s="304">
        <f t="shared" si="2"/>
        <v>0</v>
      </c>
      <c r="L46" s="330">
        <f t="shared" si="7"/>
        <v>0</v>
      </c>
      <c r="M46" s="331">
        <f t="shared" si="10"/>
        <v>0</v>
      </c>
      <c r="N46" s="331" t="s">
        <v>95</v>
      </c>
    </row>
    <row r="47" spans="1:14" ht="15.75">
      <c r="A47" s="125" t="e">
        <f t="shared" si="4"/>
        <v>#REF!</v>
      </c>
      <c r="B47" s="343" t="s">
        <v>132</v>
      </c>
      <c r="C47" s="344" t="s">
        <v>115</v>
      </c>
      <c r="D47" s="316">
        <v>11.04</v>
      </c>
      <c r="E47" s="300">
        <v>466</v>
      </c>
      <c r="F47" s="329">
        <v>42</v>
      </c>
      <c r="G47" s="302">
        <f>_xlfn.IFNA(VLOOKUP(データ!B47,[1]INVOICE!$B$33:$K$50,6,FALSE),0)</f>
        <v>0</v>
      </c>
      <c r="H47" s="302">
        <f t="shared" si="11"/>
        <v>0</v>
      </c>
      <c r="I47" s="303">
        <f t="shared" si="1"/>
        <v>0</v>
      </c>
      <c r="J47" s="330">
        <f t="shared" si="12"/>
        <v>0</v>
      </c>
      <c r="K47" s="304">
        <f t="shared" si="2"/>
        <v>0</v>
      </c>
      <c r="L47" s="330">
        <f t="shared" si="7"/>
        <v>0</v>
      </c>
      <c r="M47" s="331">
        <f t="shared" si="10"/>
        <v>0</v>
      </c>
      <c r="N47" s="331" t="s">
        <v>95</v>
      </c>
    </row>
    <row r="48" spans="1:14">
      <c r="A48" s="125" t="e">
        <f t="shared" si="4"/>
        <v>#REF!</v>
      </c>
      <c r="B48" s="318"/>
      <c r="C48" s="345"/>
      <c r="D48" s="318"/>
      <c r="E48" s="345"/>
      <c r="F48" s="345"/>
      <c r="G48" s="345"/>
      <c r="H48" s="302" t="e">
        <f t="shared" si="11"/>
        <v>#DIV/0!</v>
      </c>
      <c r="I48" s="303">
        <f t="shared" si="1"/>
        <v>0</v>
      </c>
      <c r="J48" s="330">
        <f t="shared" si="12"/>
        <v>0</v>
      </c>
      <c r="K48" s="304" t="e">
        <f t="shared" si="2"/>
        <v>#DIV/0!</v>
      </c>
      <c r="L48" s="330" t="e">
        <f t="shared" si="7"/>
        <v>#DIV/0!</v>
      </c>
      <c r="M48" s="331" t="e">
        <f t="shared" si="10"/>
        <v>#DIV/0!</v>
      </c>
      <c r="N48" s="331" t="s">
        <v>95</v>
      </c>
    </row>
    <row r="49" spans="1:14">
      <c r="A49" s="125" t="e">
        <f t="shared" si="4"/>
        <v>#REF!</v>
      </c>
      <c r="B49" s="345"/>
      <c r="C49" s="345"/>
      <c r="D49" s="318"/>
      <c r="E49" s="345"/>
      <c r="F49" s="345"/>
      <c r="G49" s="345"/>
      <c r="H49" s="345"/>
      <c r="I49" s="345"/>
      <c r="J49" s="345"/>
      <c r="K49" s="304">
        <f t="shared" si="2"/>
        <v>0</v>
      </c>
      <c r="L49" s="345"/>
      <c r="M49" s="345"/>
      <c r="N49" s="345"/>
    </row>
    <row r="50" spans="1:14">
      <c r="A50" s="125" t="e">
        <f t="shared" si="4"/>
        <v>#REF!</v>
      </c>
      <c r="B50" s="345"/>
      <c r="C50" s="345"/>
      <c r="D50" s="318"/>
      <c r="E50" s="345"/>
      <c r="F50" s="345"/>
      <c r="G50" s="345"/>
      <c r="H50" s="345"/>
      <c r="I50" s="345"/>
      <c r="J50" s="345"/>
      <c r="K50" s="304">
        <f t="shared" si="2"/>
        <v>0</v>
      </c>
      <c r="L50" s="345"/>
      <c r="M50" s="345"/>
      <c r="N50" s="345"/>
    </row>
    <row r="51" spans="1:14">
      <c r="A51" s="125" t="e">
        <f t="shared" si="4"/>
        <v>#REF!</v>
      </c>
      <c r="B51" s="345"/>
      <c r="C51" s="345"/>
      <c r="D51" s="318"/>
      <c r="E51" s="345"/>
      <c r="F51" s="345"/>
      <c r="G51" s="345"/>
      <c r="H51" s="345"/>
      <c r="I51" s="345"/>
      <c r="J51" s="345"/>
      <c r="K51" s="304">
        <f t="shared" si="2"/>
        <v>0</v>
      </c>
      <c r="L51" s="345"/>
      <c r="M51" s="345"/>
      <c r="N51" s="345"/>
    </row>
    <row r="52" spans="1:14">
      <c r="A52" s="125" t="e">
        <f t="shared" si="4"/>
        <v>#REF!</v>
      </c>
      <c r="B52" s="345"/>
      <c r="C52" s="345"/>
      <c r="D52" s="318"/>
      <c r="E52" s="345"/>
      <c r="F52" s="345"/>
      <c r="G52" s="345"/>
      <c r="H52" s="345"/>
      <c r="I52" s="345"/>
      <c r="J52" s="345"/>
      <c r="K52" s="304">
        <f t="shared" si="2"/>
        <v>0</v>
      </c>
      <c r="L52" s="345"/>
      <c r="M52" s="345"/>
      <c r="N52" s="345"/>
    </row>
    <row r="53" spans="1:14">
      <c r="A53" s="125" t="e">
        <f t="shared" si="4"/>
        <v>#REF!</v>
      </c>
      <c r="B53" s="345"/>
      <c r="C53" s="345"/>
      <c r="D53" s="318"/>
      <c r="E53" s="345"/>
      <c r="F53" s="345"/>
      <c r="G53" s="345"/>
      <c r="H53" s="345"/>
      <c r="I53" s="345"/>
      <c r="J53" s="345"/>
      <c r="K53" s="304">
        <f t="shared" si="2"/>
        <v>0</v>
      </c>
      <c r="L53" s="345"/>
      <c r="M53" s="345"/>
      <c r="N53" s="34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INVOICE</vt:lpstr>
      <vt:lpstr>PACKING LIST</vt:lpstr>
      <vt:lpstr>データ</vt:lpstr>
      <vt:lpstr>INVOICE!Print_Area</vt:lpstr>
      <vt:lpstr>'PACKING LIST'!Print_Area</vt:lpstr>
      <vt:lpstr>データ!Print_Area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元輝 浅井</cp:lastModifiedBy>
  <cp:revision/>
  <cp:lastPrinted>2025-11-24T01:22:15Z</cp:lastPrinted>
  <dcterms:created xsi:type="dcterms:W3CDTF">2016-05-31T08:23:05Z</dcterms:created>
  <dcterms:modified xsi:type="dcterms:W3CDTF">2025-12-27T15:33:48Z</dcterms:modified>
  <cp:category/>
  <cp:contentStatus/>
</cp:coreProperties>
</file>