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\masuda-vinyl-ops\app\public\"/>
    </mc:Choice>
  </mc:AlternateContent>
  <xr:revisionPtr revIDLastSave="0" documentId="13_ncr:1_{5D2391DE-2F63-4915-AF25-833875F99C45}" xr6:coauthVersionLast="47" xr6:coauthVersionMax="47" xr10:uidLastSave="{00000000-0000-0000-0000-000000000000}"/>
  <bookViews>
    <workbookView xWindow="-2724" yWindow="-25920" windowWidth="21600" windowHeight="25296" tabRatio="798" xr2:uid="{00000000-000D-0000-FFFF-FFFF00000000}"/>
  </bookViews>
  <sheets>
    <sheet name="INVOICE" sheetId="1" r:id="rId1"/>
    <sheet name="PACKING LIST" sheetId="2" r:id="rId2"/>
    <sheet name="INVOICE-20" sheetId="6" state="hidden" r:id="rId3"/>
    <sheet name="PACKING LIST-20" sheetId="7" state="hidden" r:id="rId4"/>
    <sheet name="データ" sheetId="5" state="hidden" r:id="rId5"/>
  </sheets>
  <externalReferences>
    <externalReference r:id="rId6"/>
  </externalReferences>
  <definedNames>
    <definedName name="_xlnm._FilterDatabase" localSheetId="0" hidden="1">INVOICE!$A$30:$J$47</definedName>
    <definedName name="_xlnm._FilterDatabase" localSheetId="2" hidden="1">'INVOICE-20'!$A$30:$J$54</definedName>
    <definedName name="_xlnm._FilterDatabase" localSheetId="4" hidden="1">データ!$A$2:$P$107</definedName>
    <definedName name="_xlnm.Print_Area" localSheetId="0">INVOICE!$A$1:$K$52</definedName>
    <definedName name="_xlnm.Print_Area" localSheetId="2">'INVOICE-20'!$A$1:$K$59</definedName>
    <definedName name="_xlnm.Print_Area" localSheetId="1">'PACKING LIST'!$A$1:$K$63</definedName>
    <definedName name="_xlnm.Print_Area" localSheetId="3">'PACKING LIST-20'!$A$1:$K$69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7" l="1"/>
  <c r="H5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I54" i="7"/>
  <c r="I44" i="7"/>
  <c r="I45" i="7"/>
  <c r="I46" i="7"/>
  <c r="I47" i="7"/>
  <c r="I48" i="7"/>
  <c r="I49" i="7"/>
  <c r="I50" i="7"/>
  <c r="I51" i="7"/>
  <c r="I52" i="7"/>
  <c r="I53" i="7"/>
  <c r="F44" i="7"/>
  <c r="F45" i="7"/>
  <c r="F46" i="7"/>
  <c r="F47" i="7"/>
  <c r="F48" i="7"/>
  <c r="F49" i="7"/>
  <c r="F50" i="7"/>
  <c r="F51" i="7"/>
  <c r="F52" i="7"/>
  <c r="F53" i="7"/>
  <c r="F54" i="7"/>
  <c r="E44" i="7"/>
  <c r="E45" i="7"/>
  <c r="E46" i="7"/>
  <c r="E47" i="7"/>
  <c r="E48" i="7"/>
  <c r="E49" i="7"/>
  <c r="E50" i="7"/>
  <c r="E51" i="7"/>
  <c r="E52" i="7"/>
  <c r="E53" i="7"/>
  <c r="E54" i="7"/>
  <c r="B44" i="7"/>
  <c r="B45" i="7"/>
  <c r="B46" i="7"/>
  <c r="B47" i="7"/>
  <c r="B48" i="7"/>
  <c r="B49" i="7"/>
  <c r="B50" i="7"/>
  <c r="B51" i="7"/>
  <c r="B52" i="7"/>
  <c r="B53" i="7"/>
  <c r="B54" i="7"/>
  <c r="A54" i="7"/>
  <c r="A44" i="7"/>
  <c r="A45" i="7"/>
  <c r="A46" i="7"/>
  <c r="A47" i="7"/>
  <c r="A48" i="7"/>
  <c r="A49" i="7"/>
  <c r="A50" i="7"/>
  <c r="A51" i="7"/>
  <c r="A52" i="7"/>
  <c r="A53" i="7"/>
  <c r="G48" i="6"/>
  <c r="I48" i="6" s="1"/>
  <c r="E48" i="6"/>
  <c r="G47" i="6"/>
  <c r="I47" i="6" s="1"/>
  <c r="E47" i="6"/>
  <c r="G46" i="6"/>
  <c r="I46" i="6" s="1"/>
  <c r="E46" i="6"/>
  <c r="G45" i="6"/>
  <c r="I45" i="6" s="1"/>
  <c r="E45" i="6"/>
  <c r="G44" i="6"/>
  <c r="I44" i="6" s="1"/>
  <c r="E44" i="6"/>
  <c r="G43" i="6"/>
  <c r="I43" i="6" s="1"/>
  <c r="E43" i="6"/>
  <c r="G42" i="6"/>
  <c r="I42" i="6" s="1"/>
  <c r="E42" i="6"/>
  <c r="D62" i="7"/>
  <c r="A59" i="7"/>
  <c r="J55" i="7"/>
  <c r="E61" i="7" s="1"/>
  <c r="F43" i="7"/>
  <c r="I43" i="7" s="1"/>
  <c r="B43" i="7"/>
  <c r="A43" i="7"/>
  <c r="F42" i="7"/>
  <c r="I42" i="7" s="1"/>
  <c r="B42" i="7"/>
  <c r="A42" i="7"/>
  <c r="F41" i="7"/>
  <c r="I41" i="7" s="1"/>
  <c r="B41" i="7"/>
  <c r="A41" i="7"/>
  <c r="F40" i="7"/>
  <c r="I40" i="7" s="1"/>
  <c r="B40" i="7"/>
  <c r="A40" i="7"/>
  <c r="K39" i="7"/>
  <c r="F39" i="7"/>
  <c r="I39" i="7" s="1"/>
  <c r="B39" i="7"/>
  <c r="A39" i="7"/>
  <c r="K38" i="7"/>
  <c r="F38" i="7"/>
  <c r="I38" i="7" s="1"/>
  <c r="B38" i="7"/>
  <c r="A38" i="7"/>
  <c r="K37" i="7"/>
  <c r="F37" i="7"/>
  <c r="I37" i="7" s="1"/>
  <c r="B37" i="7"/>
  <c r="A37" i="7"/>
  <c r="K36" i="7"/>
  <c r="F36" i="7"/>
  <c r="I36" i="7" s="1"/>
  <c r="B36" i="7"/>
  <c r="A36" i="7"/>
  <c r="K35" i="7"/>
  <c r="F35" i="7"/>
  <c r="I35" i="7" s="1"/>
  <c r="B35" i="7"/>
  <c r="A35" i="7"/>
  <c r="G52" i="6"/>
  <c r="I52" i="6" s="1"/>
  <c r="E52" i="6"/>
  <c r="G51" i="6"/>
  <c r="I51" i="6" s="1"/>
  <c r="E51" i="6"/>
  <c r="G50" i="6"/>
  <c r="I50" i="6" s="1"/>
  <c r="E50" i="6"/>
  <c r="G49" i="6"/>
  <c r="I49" i="6" s="1"/>
  <c r="E49" i="6"/>
  <c r="G41" i="6"/>
  <c r="I41" i="6" s="1"/>
  <c r="E41" i="6"/>
  <c r="E43" i="7" s="1"/>
  <c r="G40" i="6"/>
  <c r="I40" i="6" s="1"/>
  <c r="E40" i="6"/>
  <c r="E42" i="7" s="1"/>
  <c r="G39" i="6"/>
  <c r="I39" i="6" s="1"/>
  <c r="E39" i="6"/>
  <c r="E41" i="7" s="1"/>
  <c r="G38" i="6"/>
  <c r="I38" i="6" s="1"/>
  <c r="E38" i="6"/>
  <c r="E40" i="7" s="1"/>
  <c r="G37" i="6"/>
  <c r="I37" i="6" s="1"/>
  <c r="E37" i="6"/>
  <c r="E39" i="7" s="1"/>
  <c r="G36" i="6"/>
  <c r="I36" i="6" s="1"/>
  <c r="E36" i="6"/>
  <c r="E38" i="7" s="1"/>
  <c r="G35" i="6"/>
  <c r="I35" i="6" s="1"/>
  <c r="E35" i="6"/>
  <c r="E37" i="7" s="1"/>
  <c r="G34" i="6"/>
  <c r="I34" i="6" s="1"/>
  <c r="E34" i="6"/>
  <c r="E36" i="7" s="1"/>
  <c r="G33" i="6"/>
  <c r="I33" i="6" s="1"/>
  <c r="E33" i="6"/>
  <c r="E35" i="7" s="1"/>
  <c r="I34" i="1"/>
  <c r="I35" i="1"/>
  <c r="I36" i="1"/>
  <c r="I37" i="1"/>
  <c r="I38" i="1"/>
  <c r="I39" i="1"/>
  <c r="I40" i="1"/>
  <c r="I41" i="1"/>
  <c r="I42" i="1"/>
  <c r="I43" i="1"/>
  <c r="I44" i="1"/>
  <c r="I45" i="1"/>
  <c r="I33" i="1"/>
  <c r="I36" i="2"/>
  <c r="I37" i="2"/>
  <c r="I38" i="2"/>
  <c r="I39" i="2"/>
  <c r="I40" i="2"/>
  <c r="I41" i="2"/>
  <c r="I42" i="2"/>
  <c r="I43" i="2"/>
  <c r="I44" i="2"/>
  <c r="I45" i="2"/>
  <c r="I46" i="2"/>
  <c r="I47" i="2"/>
  <c r="I35" i="2"/>
  <c r="K55" i="7" l="1"/>
  <c r="D61" i="7" s="1"/>
  <c r="F58" i="7"/>
  <c r="F60" i="7" s="1"/>
  <c r="I53" i="6"/>
  <c r="I55" i="7"/>
  <c r="I57" i="7"/>
  <c r="F55" i="7"/>
  <c r="D60" i="7" s="1"/>
  <c r="F57" i="7"/>
  <c r="E60" i="7" s="1"/>
  <c r="A36" i="2"/>
  <c r="A37" i="2"/>
  <c r="A38" i="2"/>
  <c r="A39" i="2"/>
  <c r="A40" i="2"/>
  <c r="A41" i="2"/>
  <c r="A42" i="2"/>
  <c r="A43" i="2"/>
  <c r="A44" i="2"/>
  <c r="A45" i="2"/>
  <c r="A46" i="2"/>
  <c r="A47" i="2"/>
  <c r="A35" i="2"/>
  <c r="B35" i="2"/>
  <c r="K35" i="2"/>
  <c r="D56" i="2"/>
  <c r="J49" i="2"/>
  <c r="E55" i="2" s="1"/>
  <c r="F47" i="2"/>
  <c r="F36" i="2"/>
  <c r="F37" i="2"/>
  <c r="F38" i="2"/>
  <c r="F39" i="2"/>
  <c r="F40" i="2"/>
  <c r="F41" i="2"/>
  <c r="F42" i="2"/>
  <c r="F43" i="2"/>
  <c r="F44" i="2"/>
  <c r="F45" i="2"/>
  <c r="F46" i="2"/>
  <c r="B36" i="2"/>
  <c r="B37" i="2"/>
  <c r="B38" i="2"/>
  <c r="B39" i="2"/>
  <c r="B40" i="2"/>
  <c r="B41" i="2"/>
  <c r="B42" i="2"/>
  <c r="B43" i="2"/>
  <c r="B44" i="2"/>
  <c r="B45" i="2"/>
  <c r="B46" i="2"/>
  <c r="B47" i="2"/>
  <c r="G43" i="1"/>
  <c r="E43" i="1"/>
  <c r="E45" i="2" s="1"/>
  <c r="G45" i="1"/>
  <c r="E45" i="1"/>
  <c r="E47" i="2" s="1"/>
  <c r="H8" i="2" l="1"/>
  <c r="J54" i="5"/>
  <c r="H65" i="5"/>
  <c r="H66" i="5"/>
  <c r="H67" i="5"/>
  <c r="H68" i="5"/>
  <c r="G35" i="1"/>
  <c r="E35" i="1"/>
  <c r="E37" i="2" s="1"/>
  <c r="E36" i="1"/>
  <c r="E38" i="2" s="1"/>
  <c r="E34" i="1"/>
  <c r="E36" i="2" s="1"/>
  <c r="G40" i="1" l="1"/>
  <c r="E40" i="1"/>
  <c r="E42" i="2" s="1"/>
  <c r="G44" i="1"/>
  <c r="E44" i="1"/>
  <c r="E46" i="2" s="1"/>
  <c r="G36" i="1" l="1"/>
  <c r="G33" i="1"/>
  <c r="K46" i="2" l="1"/>
  <c r="K44" i="2"/>
  <c r="K42" i="2"/>
  <c r="K41" i="2"/>
  <c r="K40" i="2" l="1"/>
  <c r="K43" i="2"/>
  <c r="K37" i="2"/>
  <c r="G41" i="1"/>
  <c r="E39" i="1"/>
  <c r="E41" i="2" s="1"/>
  <c r="E41" i="1"/>
  <c r="E43" i="2" s="1"/>
  <c r="G37" i="1"/>
  <c r="G38" i="1"/>
  <c r="G39" i="1"/>
  <c r="E37" i="1"/>
  <c r="E39" i="2" s="1"/>
  <c r="G42" i="1"/>
  <c r="E42" i="1"/>
  <c r="E44" i="2" s="1"/>
  <c r="C99" i="5" l="1"/>
  <c r="C100" i="5"/>
  <c r="C101" i="5"/>
  <c r="C102" i="5"/>
  <c r="C103" i="5"/>
  <c r="C98" i="5"/>
  <c r="G98" i="5"/>
  <c r="J98" i="5" s="1"/>
  <c r="H98" i="5"/>
  <c r="G99" i="5"/>
  <c r="J99" i="5" s="1"/>
  <c r="H99" i="5"/>
  <c r="G100" i="5"/>
  <c r="J100" i="5" s="1"/>
  <c r="H100" i="5"/>
  <c r="G101" i="5"/>
  <c r="J101" i="5" s="1"/>
  <c r="H101" i="5"/>
  <c r="G102" i="5"/>
  <c r="J102" i="5" s="1"/>
  <c r="H102" i="5"/>
  <c r="G103" i="5"/>
  <c r="J103" i="5" s="1"/>
  <c r="H103" i="5"/>
  <c r="K98" i="5" l="1"/>
  <c r="K103" i="5"/>
  <c r="K101" i="5"/>
  <c r="K100" i="5"/>
  <c r="K99" i="5"/>
  <c r="K102" i="5"/>
  <c r="E38" i="1"/>
  <c r="E40" i="2" s="1"/>
  <c r="G34" i="1"/>
  <c r="F95" i="5" l="1"/>
  <c r="G95" i="5" s="1"/>
  <c r="J95" i="5" s="1"/>
  <c r="F96" i="5"/>
  <c r="H96" i="5" s="1"/>
  <c r="F97" i="5"/>
  <c r="H97" i="5" s="1"/>
  <c r="F106" i="5"/>
  <c r="G106" i="5" s="1"/>
  <c r="J106" i="5" s="1"/>
  <c r="F107" i="5"/>
  <c r="G107" i="5" s="1"/>
  <c r="J107" i="5" s="1"/>
  <c r="F108" i="5"/>
  <c r="H108" i="5" s="1"/>
  <c r="F109" i="5"/>
  <c r="F110" i="5"/>
  <c r="G110" i="5" s="1"/>
  <c r="J110" i="5" s="1"/>
  <c r="H106" i="5" l="1"/>
  <c r="K106" i="5" s="1"/>
  <c r="H107" i="5"/>
  <c r="K107" i="5" s="1"/>
  <c r="G96" i="5"/>
  <c r="J96" i="5" s="1"/>
  <c r="K96" i="5" s="1"/>
  <c r="H110" i="5"/>
  <c r="K110" i="5" s="1"/>
  <c r="G108" i="5"/>
  <c r="J108" i="5" s="1"/>
  <c r="K108" i="5" s="1"/>
  <c r="H95" i="5"/>
  <c r="K95" i="5" s="1"/>
  <c r="G109" i="5"/>
  <c r="J109" i="5" s="1"/>
  <c r="G97" i="5"/>
  <c r="J97" i="5" s="1"/>
  <c r="K97" i="5" s="1"/>
  <c r="D109" i="5"/>
  <c r="K45" i="2" l="1"/>
  <c r="H109" i="5"/>
  <c r="K109" i="5" s="1"/>
  <c r="K36" i="2" l="1"/>
  <c r="H5" i="2" l="1"/>
  <c r="F35" i="2" l="1"/>
  <c r="I46" i="1" l="1"/>
  <c r="D9" i="5" l="1"/>
  <c r="D34" i="5"/>
  <c r="D33" i="5"/>
  <c r="D32" i="5"/>
  <c r="D31" i="5"/>
  <c r="D30" i="5"/>
  <c r="D29" i="5"/>
  <c r="K47" i="2" s="1"/>
  <c r="K39" i="2" l="1"/>
  <c r="K38" i="2"/>
  <c r="F47" i="5" l="1"/>
  <c r="F43" i="5"/>
  <c r="F48" i="5"/>
  <c r="F45" i="5"/>
  <c r="F49" i="5"/>
  <c r="F46" i="5"/>
  <c r="F53" i="5"/>
  <c r="F29" i="5"/>
  <c r="F55" i="5"/>
  <c r="F60" i="5"/>
  <c r="F24" i="5"/>
  <c r="F15" i="5"/>
  <c r="F37" i="5"/>
  <c r="F30" i="5"/>
  <c r="F25" i="5"/>
  <c r="F18" i="5"/>
  <c r="F39" i="5"/>
  <c r="F13" i="5"/>
  <c r="F9" i="5"/>
  <c r="F50" i="5"/>
  <c r="G50" i="5" s="1"/>
  <c r="F20" i="5"/>
  <c r="F40" i="5"/>
  <c r="F38" i="5"/>
  <c r="F21" i="5"/>
  <c r="F19" i="5"/>
  <c r="F27" i="5"/>
  <c r="F44" i="5"/>
  <c r="F59" i="5"/>
  <c r="F35" i="5"/>
  <c r="F16" i="5"/>
  <c r="F36" i="5"/>
  <c r="F56" i="5"/>
  <c r="F22" i="5"/>
  <c r="F26" i="5"/>
  <c r="F33" i="5"/>
  <c r="F54" i="5"/>
  <c r="H54" i="5" s="1"/>
  <c r="F28" i="5"/>
  <c r="F32" i="5"/>
  <c r="F8" i="5"/>
  <c r="F31" i="5"/>
  <c r="F52" i="5"/>
  <c r="G52" i="5" s="1"/>
  <c r="F23" i="5"/>
  <c r="F10" i="5"/>
  <c r="F34" i="5"/>
  <c r="F17" i="5"/>
  <c r="F57" i="5"/>
  <c r="F41" i="5"/>
  <c r="F12" i="5"/>
  <c r="F51" i="5"/>
  <c r="G51" i="5" s="1"/>
  <c r="F11" i="5"/>
  <c r="H11" i="5" s="1"/>
  <c r="F14" i="5"/>
  <c r="F42" i="5"/>
  <c r="H42" i="5" s="1"/>
  <c r="F76" i="5"/>
  <c r="F78" i="5"/>
  <c r="F75" i="5"/>
  <c r="F77" i="5"/>
  <c r="H53" i="5" l="1"/>
  <c r="G53" i="5"/>
  <c r="J53" i="5" s="1"/>
  <c r="G48" i="5"/>
  <c r="J48" i="5" s="1"/>
  <c r="H48" i="5"/>
  <c r="G49" i="5"/>
  <c r="J49" i="5" s="1"/>
  <c r="H49" i="5"/>
  <c r="G11" i="5"/>
  <c r="J11" i="5" s="1"/>
  <c r="K11" i="5" s="1"/>
  <c r="G42" i="5"/>
  <c r="J42" i="5" s="1"/>
  <c r="K42" i="5" s="1"/>
  <c r="H18" i="5"/>
  <c r="G18" i="5"/>
  <c r="J18" i="5" s="1"/>
  <c r="H16" i="5"/>
  <c r="G16" i="5"/>
  <c r="J16" i="5" s="1"/>
  <c r="H15" i="5"/>
  <c r="G15" i="5"/>
  <c r="J15" i="5" s="1"/>
  <c r="H17" i="5"/>
  <c r="G17" i="5"/>
  <c r="J17" i="5" s="1"/>
  <c r="H21" i="5"/>
  <c r="G21" i="5"/>
  <c r="J21" i="5" s="1"/>
  <c r="H12" i="5"/>
  <c r="G12" i="5"/>
  <c r="J12" i="5" s="1"/>
  <c r="H14" i="5"/>
  <c r="G14" i="5"/>
  <c r="J14" i="5" s="1"/>
  <c r="H75" i="5"/>
  <c r="K75" i="5" s="1"/>
  <c r="G75" i="5"/>
  <c r="G78" i="5"/>
  <c r="H78" i="5"/>
  <c r="K78" i="5" s="1"/>
  <c r="H76" i="5"/>
  <c r="K76" i="5" s="1"/>
  <c r="G76" i="5"/>
  <c r="H77" i="5"/>
  <c r="K77" i="5" s="1"/>
  <c r="G77" i="5"/>
  <c r="K12" i="5" l="1"/>
  <c r="K17" i="5"/>
  <c r="K16" i="5"/>
  <c r="K14" i="5"/>
  <c r="K21" i="5"/>
  <c r="K15" i="5"/>
  <c r="K18" i="5"/>
  <c r="F87" i="5"/>
  <c r="F88" i="5"/>
  <c r="F89" i="5"/>
  <c r="F90" i="5"/>
  <c r="F91" i="5"/>
  <c r="F92" i="5"/>
  <c r="F93" i="5"/>
  <c r="F94" i="5"/>
  <c r="G94" i="5" s="1"/>
  <c r="J94" i="5" s="1"/>
  <c r="H94" i="5" l="1"/>
  <c r="K94" i="5" s="1"/>
  <c r="G93" i="5" l="1"/>
  <c r="J93" i="5" s="1"/>
  <c r="H92" i="5"/>
  <c r="H91" i="5"/>
  <c r="H90" i="5"/>
  <c r="H89" i="5"/>
  <c r="H88" i="5"/>
  <c r="H87" i="5"/>
  <c r="F86" i="5"/>
  <c r="H86" i="5" s="1"/>
  <c r="F85" i="5"/>
  <c r="H85" i="5" s="1"/>
  <c r="F84" i="5"/>
  <c r="G84" i="5" s="1"/>
  <c r="J84" i="5" s="1"/>
  <c r="F83" i="5"/>
  <c r="H83" i="5" s="1"/>
  <c r="F82" i="5"/>
  <c r="H82" i="5" s="1"/>
  <c r="F81" i="5"/>
  <c r="H81" i="5" s="1"/>
  <c r="F80" i="5"/>
  <c r="G80" i="5" s="1"/>
  <c r="J80" i="5" s="1"/>
  <c r="F79" i="5"/>
  <c r="H79" i="5" s="1"/>
  <c r="G79" i="5" l="1"/>
  <c r="J79" i="5" s="1"/>
  <c r="K79" i="5" s="1"/>
  <c r="G83" i="5"/>
  <c r="J83" i="5" s="1"/>
  <c r="K83" i="5" s="1"/>
  <c r="G91" i="5"/>
  <c r="J91" i="5" s="1"/>
  <c r="K91" i="5" s="1"/>
  <c r="H80" i="5"/>
  <c r="K80" i="5" s="1"/>
  <c r="H84" i="5"/>
  <c r="K84" i="5" s="1"/>
  <c r="G86" i="5"/>
  <c r="J86" i="5" s="1"/>
  <c r="K86" i="5" s="1"/>
  <c r="G87" i="5"/>
  <c r="J87" i="5" s="1"/>
  <c r="K87" i="5" s="1"/>
  <c r="G90" i="5"/>
  <c r="J90" i="5" s="1"/>
  <c r="K90" i="5" s="1"/>
  <c r="G89" i="5"/>
  <c r="J89" i="5" s="1"/>
  <c r="K89" i="5" s="1"/>
  <c r="G81" i="5"/>
  <c r="J81" i="5" s="1"/>
  <c r="K81" i="5" s="1"/>
  <c r="G85" i="5"/>
  <c r="J85" i="5" s="1"/>
  <c r="K85" i="5" s="1"/>
  <c r="G88" i="5"/>
  <c r="J88" i="5" s="1"/>
  <c r="K88" i="5" s="1"/>
  <c r="H93" i="5"/>
  <c r="K93" i="5" s="1"/>
  <c r="G82" i="5"/>
  <c r="J82" i="5" s="1"/>
  <c r="K82" i="5" s="1"/>
  <c r="G92" i="5"/>
  <c r="J92" i="5" s="1"/>
  <c r="K92" i="5" s="1"/>
  <c r="F73" i="5" l="1"/>
  <c r="F74" i="5"/>
  <c r="H74" i="5" s="1"/>
  <c r="K49" i="2" l="1"/>
  <c r="D55" i="2" s="1"/>
  <c r="G73" i="5"/>
  <c r="H73" i="5"/>
  <c r="K73" i="5" s="1"/>
  <c r="G74" i="5"/>
  <c r="K74" i="5" s="1"/>
  <c r="E33" i="1" l="1"/>
  <c r="E35" i="2" s="1"/>
  <c r="F49" i="2" l="1"/>
  <c r="D54" i="2" s="1"/>
  <c r="I51" i="2"/>
  <c r="I49" i="2"/>
  <c r="F51" i="2"/>
  <c r="E54" i="2" s="1"/>
  <c r="F52" i="2"/>
  <c r="F54" i="2" s="1"/>
  <c r="F6" i="5" l="1"/>
  <c r="H44" i="5"/>
  <c r="H50" i="5"/>
  <c r="H52" i="5"/>
  <c r="F61" i="5"/>
  <c r="F69" i="5"/>
  <c r="H69" i="5" s="1"/>
  <c r="F3" i="5"/>
  <c r="F7" i="5"/>
  <c r="H43" i="5"/>
  <c r="H47" i="5"/>
  <c r="H56" i="5"/>
  <c r="F64" i="5"/>
  <c r="H64" i="5" s="1"/>
  <c r="F72" i="5"/>
  <c r="H72" i="5" s="1"/>
  <c r="H45" i="5"/>
  <c r="H51" i="5"/>
  <c r="F62" i="5"/>
  <c r="H62" i="5" s="1"/>
  <c r="F70" i="5"/>
  <c r="H70" i="5" s="1"/>
  <c r="F4" i="5"/>
  <c r="H29" i="5"/>
  <c r="H46" i="5"/>
  <c r="H55" i="5"/>
  <c r="F63" i="5"/>
  <c r="H63" i="5" s="1"/>
  <c r="F71" i="5"/>
  <c r="H71" i="5" s="1"/>
  <c r="F5" i="5"/>
  <c r="G59" i="5" l="1"/>
  <c r="J59" i="5" s="1"/>
  <c r="H59" i="5"/>
  <c r="G60" i="5"/>
  <c r="J60" i="5" s="1"/>
  <c r="H60" i="5"/>
  <c r="G57" i="5"/>
  <c r="J57" i="5" s="1"/>
  <c r="H57" i="5"/>
  <c r="D61" i="5"/>
  <c r="H61" i="5" s="1"/>
  <c r="K57" i="5" l="1"/>
  <c r="K59" i="5"/>
  <c r="K60" i="5"/>
  <c r="G63" i="5"/>
  <c r="J63" i="5" s="1"/>
  <c r="G64" i="5"/>
  <c r="J64" i="5" s="1"/>
  <c r="G72" i="5"/>
  <c r="J72" i="5" s="1"/>
  <c r="G69" i="5"/>
  <c r="J69" i="5" s="1"/>
  <c r="G61" i="5"/>
  <c r="J61" i="5" s="1"/>
  <c r="K63" i="5" l="1"/>
  <c r="K69" i="5"/>
  <c r="K61" i="5"/>
  <c r="G70" i="5"/>
  <c r="J70" i="5" s="1"/>
  <c r="K70" i="5" s="1"/>
  <c r="J71" i="5"/>
  <c r="K71" i="5" s="1"/>
  <c r="K64" i="5"/>
  <c r="K72" i="5"/>
  <c r="G62" i="5" l="1"/>
  <c r="J62" i="5" s="1"/>
  <c r="C4" i="5"/>
  <c r="C7" i="5"/>
  <c r="K62" i="5" l="1"/>
  <c r="C6" i="5"/>
  <c r="C8" i="5"/>
  <c r="A53" i="2" l="1"/>
  <c r="G47" i="5" l="1"/>
  <c r="J47" i="5" s="1"/>
  <c r="K47" i="5" l="1"/>
  <c r="G38" i="5" l="1"/>
  <c r="J38" i="5" s="1"/>
  <c r="H38" i="5" l="1"/>
  <c r="K38" i="5" s="1"/>
  <c r="G37" i="5"/>
  <c r="H37" i="5"/>
  <c r="J50" i="5"/>
  <c r="G55" i="5"/>
  <c r="J55" i="5" s="1"/>
  <c r="G46" i="5"/>
  <c r="J46" i="5" s="1"/>
  <c r="G56" i="5"/>
  <c r="J56" i="5" s="1"/>
  <c r="J51" i="5"/>
  <c r="K46" i="5" l="1"/>
  <c r="K55" i="5"/>
  <c r="K50" i="5"/>
  <c r="K56" i="5"/>
  <c r="K51" i="5"/>
  <c r="J37" i="5"/>
  <c r="K37" i="5" s="1"/>
  <c r="A6" i="5"/>
  <c r="A7" i="5" s="1"/>
  <c r="A8" i="5" s="1"/>
  <c r="A9" i="5" s="1"/>
  <c r="A10" i="5" s="1"/>
  <c r="A11" i="5" s="1"/>
  <c r="A13" i="5" l="1"/>
  <c r="A19" i="5" s="1"/>
  <c r="A21" i="5" s="1"/>
  <c r="A12" i="5"/>
  <c r="A14" i="5" s="1"/>
  <c r="A20" i="5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9" i="5" s="1"/>
  <c r="A40" i="5" s="1"/>
  <c r="A41" i="5" s="1"/>
  <c r="A43" i="5" l="1"/>
  <c r="A44" i="5" s="1"/>
  <c r="A45" i="5" s="1"/>
  <c r="A50" i="5" s="1"/>
  <c r="A51" i="5" s="1"/>
  <c r="A55" i="5" s="1"/>
  <c r="A52" i="5" s="1"/>
  <c r="A57" i="5" s="1"/>
  <c r="A59" i="5" s="1"/>
  <c r="A60" i="5" s="1"/>
  <c r="A63" i="5" s="1"/>
  <c r="A64" i="5" s="1"/>
  <c r="A69" i="5" s="1"/>
  <c r="A70" i="5" s="1"/>
  <c r="A71" i="5" s="1"/>
  <c r="A72" i="5" s="1"/>
  <c r="A73" i="5" s="1"/>
  <c r="A74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106" i="5" s="1"/>
  <c r="A107" i="5" s="1"/>
  <c r="A42" i="5"/>
  <c r="G7" i="5" l="1"/>
  <c r="G41" i="5"/>
  <c r="H3" i="5"/>
  <c r="G4" i="5"/>
  <c r="G8" i="5"/>
  <c r="G19" i="5"/>
  <c r="G9" i="5"/>
  <c r="H9" i="5" s="1"/>
  <c r="G20" i="5"/>
  <c r="G45" i="5"/>
  <c r="J45" i="5" s="1"/>
  <c r="J8" i="5" l="1"/>
  <c r="I8" i="5"/>
  <c r="J52" i="5"/>
  <c r="H8" i="5"/>
  <c r="G43" i="5"/>
  <c r="J43" i="5" s="1"/>
  <c r="H41" i="5"/>
  <c r="K52" i="5" l="1"/>
  <c r="K43" i="5"/>
  <c r="J41" i="5"/>
  <c r="K41" i="5" s="1"/>
  <c r="K8" i="5" l="1"/>
  <c r="A4" i="5" l="1"/>
  <c r="H6" i="5" l="1"/>
  <c r="G10" i="5"/>
  <c r="G13" i="5"/>
  <c r="G6" i="5" l="1"/>
  <c r="H7" i="5"/>
  <c r="G5" i="5"/>
  <c r="H5" i="5"/>
  <c r="H10" i="5"/>
  <c r="H13" i="5"/>
  <c r="J13" i="5"/>
  <c r="J10" i="5"/>
  <c r="J6" i="5" l="1"/>
  <c r="I6" i="5"/>
  <c r="I7" i="5"/>
  <c r="J7" i="5"/>
  <c r="K45" i="5"/>
  <c r="J5" i="5"/>
  <c r="I5" i="5"/>
  <c r="K10" i="5"/>
  <c r="K13" i="5"/>
  <c r="K6" i="5" l="1"/>
  <c r="K7" i="5"/>
  <c r="K5" i="5"/>
  <c r="P36" i="5" l="1"/>
  <c r="G25" i="5" l="1"/>
  <c r="H25" i="5"/>
  <c r="G3" i="5"/>
  <c r="I3" i="5" s="1"/>
  <c r="J3" i="5" l="1"/>
  <c r="J25" i="5"/>
  <c r="K25" i="5" s="1"/>
  <c r="G44" i="5"/>
  <c r="J44" i="5" s="1"/>
  <c r="G39" i="5"/>
  <c r="H39" i="5"/>
  <c r="H19" i="5"/>
  <c r="G40" i="5"/>
  <c r="H40" i="5"/>
  <c r="G36" i="5"/>
  <c r="H36" i="5"/>
  <c r="G33" i="5"/>
  <c r="J33" i="5" s="1"/>
  <c r="H33" i="5"/>
  <c r="G30" i="5"/>
  <c r="H30" i="5"/>
  <c r="G32" i="5"/>
  <c r="H32" i="5"/>
  <c r="G35" i="5"/>
  <c r="H35" i="5"/>
  <c r="G26" i="5"/>
  <c r="J26" i="5" s="1"/>
  <c r="H26" i="5"/>
  <c r="G29" i="5"/>
  <c r="G31" i="5"/>
  <c r="H31" i="5"/>
  <c r="J20" i="5"/>
  <c r="H20" i="5"/>
  <c r="G28" i="5"/>
  <c r="J28" i="5" s="1"/>
  <c r="H28" i="5"/>
  <c r="H4" i="5"/>
  <c r="J9" i="5"/>
  <c r="K9" i="5" s="1"/>
  <c r="G34" i="5"/>
  <c r="J34" i="5" s="1"/>
  <c r="H34" i="5"/>
  <c r="G27" i="5"/>
  <c r="H27" i="5"/>
  <c r="G24" i="5"/>
  <c r="H24" i="5"/>
  <c r="G22" i="5"/>
  <c r="H22" i="5"/>
  <c r="G23" i="5"/>
  <c r="H23" i="5"/>
  <c r="J22" i="5" l="1"/>
  <c r="K22" i="5" s="1"/>
  <c r="J23" i="5"/>
  <c r="K23" i="5" s="1"/>
  <c r="I4" i="5"/>
  <c r="J19" i="5"/>
  <c r="K19" i="5" s="1"/>
  <c r="J32" i="5"/>
  <c r="K32" i="5" s="1"/>
  <c r="J31" i="5"/>
  <c r="K31" i="5" s="1"/>
  <c r="J27" i="5"/>
  <c r="K27" i="5" s="1"/>
  <c r="J40" i="5"/>
  <c r="K40" i="5" s="1"/>
  <c r="J24" i="5"/>
  <c r="K24" i="5" s="1"/>
  <c r="J30" i="5"/>
  <c r="K30" i="5" s="1"/>
  <c r="J36" i="5"/>
  <c r="K36" i="5" s="1"/>
  <c r="J29" i="5"/>
  <c r="K29" i="5" s="1"/>
  <c r="J39" i="5"/>
  <c r="K39" i="5" s="1"/>
  <c r="J35" i="5"/>
  <c r="K35" i="5" s="1"/>
  <c r="K44" i="5"/>
  <c r="K34" i="5"/>
  <c r="K20" i="5"/>
  <c r="K33" i="5"/>
  <c r="J4" i="5"/>
  <c r="K28" i="5"/>
  <c r="K26" i="5"/>
  <c r="K3" i="5" l="1"/>
  <c r="K4" i="5"/>
</calcChain>
</file>

<file path=xl/sharedStrings.xml><?xml version="1.0" encoding="utf-8"?>
<sst xmlns="http://schemas.openxmlformats.org/spreadsheetml/2006/main" count="541" uniqueCount="212">
  <si>
    <t>INVOICE</t>
    <phoneticPr fontId="4"/>
  </si>
  <si>
    <r>
      <rPr>
        <b/>
        <sz val="11"/>
        <color theme="1"/>
        <rFont val="ＭＳ Ｐゴシック"/>
        <family val="3"/>
        <charset val="128"/>
      </rPr>
      <t>依頼住</t>
    </r>
    <r>
      <rPr>
        <b/>
        <sz val="11"/>
        <color theme="1"/>
        <rFont val="Times New Roman"/>
        <family val="1"/>
      </rPr>
      <t xml:space="preserve"> (Shipper Address)</t>
    </r>
    <rPh sb="0" eb="2">
      <t>イライ</t>
    </rPh>
    <rPh sb="2" eb="3">
      <t>ジュウ</t>
    </rPh>
    <phoneticPr fontId="4"/>
  </si>
  <si>
    <t>MASUDA VINYL VIETNAM CO.,LTD</t>
    <phoneticPr fontId="6"/>
  </si>
  <si>
    <t>LOT NO1 DONG VANG DINH TRAM INDUSTRIAL ZONE</t>
    <phoneticPr fontId="6"/>
  </si>
  <si>
    <r>
      <t>(</t>
    </r>
    <r>
      <rPr>
        <b/>
        <sz val="10"/>
        <rFont val="ＭＳ Ｐ明朝"/>
        <family val="1"/>
        <charset val="128"/>
      </rPr>
      <t>原産国</t>
    </r>
    <r>
      <rPr>
        <b/>
        <sz val="10"/>
        <rFont val="Times New Roman"/>
        <family val="1"/>
      </rPr>
      <t xml:space="preserve">)
Country of Origin </t>
    </r>
    <rPh sb="1" eb="3">
      <t>ゲンサン</t>
    </rPh>
    <rPh sb="3" eb="4">
      <t>コク</t>
    </rPh>
    <phoneticPr fontId="15"/>
  </si>
  <si>
    <r>
      <t>(</t>
    </r>
    <r>
      <rPr>
        <b/>
        <sz val="10"/>
        <rFont val="ＭＳ Ｐ明朝"/>
        <family val="1"/>
        <charset val="128"/>
      </rPr>
      <t>仕向先国名</t>
    </r>
    <r>
      <rPr>
        <b/>
        <sz val="10"/>
        <rFont val="Times New Roman"/>
        <family val="1"/>
      </rPr>
      <t>) 
Country of Destination</t>
    </r>
    <rPh sb="1" eb="3">
      <t>シム</t>
    </rPh>
    <rPh sb="3" eb="4">
      <t>サキ</t>
    </rPh>
    <rPh sb="4" eb="5">
      <t>クニ</t>
    </rPh>
    <rPh sb="5" eb="6">
      <t>メイ</t>
    </rPh>
    <phoneticPr fontId="15"/>
  </si>
  <si>
    <t>TEL : 0204 3662 777</t>
    <phoneticPr fontId="6"/>
  </si>
  <si>
    <t>VIETNAM</t>
    <phoneticPr fontId="4"/>
  </si>
  <si>
    <t>JAPAN</t>
    <phoneticPr fontId="4"/>
  </si>
  <si>
    <t>FAX : 0204 3662 825</t>
    <phoneticPr fontId="6"/>
  </si>
  <si>
    <r>
      <rPr>
        <b/>
        <sz val="10"/>
        <rFont val="ＭＳ Ｐ明朝"/>
        <family val="1"/>
        <charset val="128"/>
      </rPr>
      <t>支払条件</t>
    </r>
    <r>
      <rPr>
        <b/>
        <sz val="10"/>
        <rFont val="Times New Roman"/>
        <family val="1"/>
      </rPr>
      <t xml:space="preserve"> (Terms of Payment)</t>
    </r>
    <rPh sb="0" eb="2">
      <t>シハライ</t>
    </rPh>
    <rPh sb="2" eb="4">
      <t>ジョウケン</t>
    </rPh>
    <phoneticPr fontId="15"/>
  </si>
  <si>
    <r>
      <t>20</t>
    </r>
    <r>
      <rPr>
        <sz val="9"/>
        <color theme="1"/>
        <rFont val="ＭＳ Ｐゴシック"/>
        <family val="2"/>
      </rPr>
      <t>日締め翌月末支払</t>
    </r>
    <r>
      <rPr>
        <sz val="9"/>
        <color theme="1"/>
        <rFont val="Times New Roman"/>
        <family val="1"/>
      </rPr>
      <t xml:space="preserve">
(Invoice will be closed on 20th every month and payment at end of the following month)</t>
    </r>
    <phoneticPr fontId="4"/>
  </si>
  <si>
    <r>
      <rPr>
        <b/>
        <sz val="11"/>
        <rFont val="ＭＳ Ｐゴシック"/>
        <family val="2"/>
      </rPr>
      <t>荷受人</t>
    </r>
    <r>
      <rPr>
        <b/>
        <sz val="11"/>
        <rFont val="Times New Roman"/>
        <family val="1"/>
      </rPr>
      <t>(Consigneer)</t>
    </r>
    <phoneticPr fontId="4"/>
  </si>
  <si>
    <t>MASUDA VINYL CO.,LTD</t>
  </si>
  <si>
    <t>390ROKUGAIKECYOU  KITAKU</t>
  </si>
  <si>
    <t>備考 (Remark):</t>
    <rPh sb="0" eb="2">
      <t>ビコウ</t>
    </rPh>
    <phoneticPr fontId="4"/>
  </si>
  <si>
    <t>NAGOYA CITY AICHI JAPAN</t>
  </si>
  <si>
    <t>TEL : 052-901-9373</t>
  </si>
  <si>
    <t>P</t>
  </si>
  <si>
    <t xml:space="preserve">有償（Commerical Value) </t>
  </si>
  <si>
    <t>FAX : 052-901-6943</t>
  </si>
  <si>
    <t xml:space="preserve">無償（No Commerical Value) </t>
  </si>
  <si>
    <r>
      <t>Delivery to (</t>
    </r>
    <r>
      <rPr>
        <b/>
        <sz val="14"/>
        <rFont val="ＭＳ Ｐ明朝"/>
        <family val="1"/>
        <charset val="128"/>
      </rPr>
      <t>着地</t>
    </r>
    <r>
      <rPr>
        <b/>
        <sz val="14"/>
        <rFont val="Times New Roman"/>
        <family val="1"/>
      </rPr>
      <t>)</t>
    </r>
  </si>
  <si>
    <t>贈物（Gift)</t>
  </si>
  <si>
    <r>
      <t xml:space="preserve">商品見本（ </t>
    </r>
    <r>
      <rPr>
        <sz val="9"/>
        <color theme="1"/>
        <rFont val="ＭＳ Ｐゴシック"/>
        <family val="2"/>
        <scheme val="major"/>
      </rPr>
      <t>Sample, No Commercial Value</t>
    </r>
    <r>
      <rPr>
        <sz val="11"/>
        <color theme="1"/>
        <rFont val="ＭＳ Ｐゴシック"/>
        <family val="2"/>
        <charset val="128"/>
        <scheme val="major"/>
      </rPr>
      <t xml:space="preserve"> )</t>
    </r>
  </si>
  <si>
    <t>その他（Other)</t>
  </si>
  <si>
    <t>ラベル内容　
(Marks &amp; Nos.)</t>
  </si>
  <si>
    <r>
      <rPr>
        <sz val="11"/>
        <color theme="1"/>
        <rFont val="ＭＳ Ｐゴシック"/>
        <family val="2"/>
        <charset val="128"/>
      </rPr>
      <t xml:space="preserve">内容品の記載
</t>
    </r>
    <r>
      <rPr>
        <sz val="11"/>
        <color theme="1"/>
        <rFont val="Times New Roman"/>
        <family val="1"/>
      </rPr>
      <t>(Description)</t>
    </r>
    <rPh sb="0" eb="2">
      <t>ナイヨウ</t>
    </rPh>
    <rPh sb="2" eb="3">
      <t>ヒン</t>
    </rPh>
    <rPh sb="4" eb="6">
      <t>キサイ</t>
    </rPh>
    <phoneticPr fontId="4"/>
  </si>
  <si>
    <r>
      <rPr>
        <sz val="11"/>
        <color theme="1"/>
        <rFont val="ＭＳ Ｐゴシック"/>
        <family val="2"/>
        <charset val="128"/>
      </rPr>
      <t>単位
（</t>
    </r>
    <r>
      <rPr>
        <sz val="11"/>
        <color theme="1"/>
        <rFont val="Times New Roman"/>
        <family val="1"/>
      </rPr>
      <t>Unit</t>
    </r>
    <r>
      <rPr>
        <sz val="11"/>
        <color theme="1"/>
        <rFont val="ＭＳ Ｐゴシック"/>
        <family val="2"/>
        <charset val="128"/>
      </rPr>
      <t>）</t>
    </r>
    <rPh sb="0" eb="2">
      <t>タンイ</t>
    </rPh>
    <phoneticPr fontId="4"/>
  </si>
  <si>
    <r>
      <rPr>
        <sz val="11"/>
        <color theme="1"/>
        <rFont val="ＭＳ Ｐゴシック"/>
        <family val="2"/>
        <charset val="128"/>
      </rPr>
      <t>数量
（</t>
    </r>
    <r>
      <rPr>
        <sz val="11"/>
        <color theme="1"/>
        <rFont val="Times New Roman"/>
        <family val="1"/>
      </rPr>
      <t>Quantity)</t>
    </r>
    <rPh sb="0" eb="2">
      <t>スウリョウ</t>
    </rPh>
    <phoneticPr fontId="4"/>
  </si>
  <si>
    <r>
      <rPr>
        <sz val="11"/>
        <color theme="1"/>
        <rFont val="ＭＳ Ｐゴシック"/>
        <family val="2"/>
        <charset val="128"/>
      </rPr>
      <t>単価
（</t>
    </r>
    <r>
      <rPr>
        <sz val="11"/>
        <color theme="1"/>
        <rFont val="Times New Roman"/>
        <family val="1"/>
      </rPr>
      <t>Unit Price</t>
    </r>
    <r>
      <rPr>
        <sz val="11"/>
        <color theme="1"/>
        <rFont val="ＭＳ Ｐゴシック"/>
        <family val="2"/>
        <charset val="128"/>
      </rPr>
      <t>）</t>
    </r>
    <rPh sb="0" eb="2">
      <t>タンカ</t>
    </rPh>
    <phoneticPr fontId="4"/>
  </si>
  <si>
    <r>
      <rPr>
        <sz val="11"/>
        <color theme="1"/>
        <rFont val="ＭＳ Ｐゴシック"/>
        <family val="2"/>
        <charset val="128"/>
      </rPr>
      <t>合計
（</t>
    </r>
    <r>
      <rPr>
        <sz val="11"/>
        <color theme="1"/>
        <rFont val="Times New Roman"/>
        <family val="1"/>
      </rPr>
      <t>Total Amount)</t>
    </r>
    <rPh sb="0" eb="2">
      <t>ゴウケイ</t>
    </rPh>
    <phoneticPr fontId="4"/>
  </si>
  <si>
    <t>MASK 515220</t>
  </si>
  <si>
    <r>
      <rPr>
        <b/>
        <sz val="11"/>
        <color theme="1"/>
        <rFont val="ＭＳ Ｐゴシック"/>
        <family val="2"/>
        <charset val="128"/>
      </rPr>
      <t>合計　（</t>
    </r>
    <r>
      <rPr>
        <b/>
        <sz val="11"/>
        <color theme="1"/>
        <rFont val="Times New Roman"/>
        <family val="1"/>
      </rPr>
      <t>Total)</t>
    </r>
  </si>
  <si>
    <r>
      <rPr>
        <b/>
        <sz val="11"/>
        <rFont val="ＭＳ Ｐ明朝"/>
        <family val="1"/>
        <charset val="128"/>
      </rPr>
      <t>原産国</t>
    </r>
    <r>
      <rPr>
        <b/>
        <sz val="11"/>
        <rFont val="Times New Roman"/>
        <family val="1"/>
      </rPr>
      <t xml:space="preserve"> (Country of Origin) : VIETNAM</t>
    </r>
    <rPh sb="0" eb="2">
      <t>ゲンサン</t>
    </rPh>
    <rPh sb="2" eb="3">
      <t>コク</t>
    </rPh>
    <phoneticPr fontId="15"/>
  </si>
  <si>
    <t>署名（ Singnature )</t>
    <rPh sb="0" eb="2">
      <t>ショメイ</t>
    </rPh>
    <phoneticPr fontId="4"/>
  </si>
  <si>
    <t>PACKING LIST</t>
    <phoneticPr fontId="4"/>
  </si>
  <si>
    <t>JAPAN</t>
  </si>
  <si>
    <t>MASUDA VINYL CO.,LTD</t>
    <phoneticPr fontId="6"/>
  </si>
  <si>
    <r>
      <rPr>
        <sz val="11"/>
        <color theme="1"/>
        <rFont val="ＭＳ Ｐゴシック"/>
        <family val="2"/>
        <charset val="128"/>
      </rPr>
      <t>備考</t>
    </r>
    <r>
      <rPr>
        <sz val="11"/>
        <color theme="1"/>
        <rFont val="Times New Roman"/>
        <family val="1"/>
      </rPr>
      <t xml:space="preserve"> (Remark):</t>
    </r>
    <rPh sb="0" eb="2">
      <t>ビコウ</t>
    </rPh>
    <phoneticPr fontId="4"/>
  </si>
  <si>
    <t>390ROKUGAIKECYOU  KITAKU</t>
    <phoneticPr fontId="6"/>
  </si>
  <si>
    <t>NAGOYA CITY AICHI JAPAN</t>
    <phoneticPr fontId="6"/>
  </si>
  <si>
    <t>TEL : 052-901-9373</t>
    <phoneticPr fontId="6"/>
  </si>
  <si>
    <t>FAX : 052-901-6943</t>
    <phoneticPr fontId="6"/>
  </si>
  <si>
    <r>
      <rPr>
        <sz val="11"/>
        <color theme="1"/>
        <rFont val="ＭＳ Ｐゴシック"/>
        <family val="2"/>
        <charset val="128"/>
      </rPr>
      <t>梱包
（</t>
    </r>
    <r>
      <rPr>
        <sz val="11"/>
        <color theme="1"/>
        <rFont val="Times New Roman"/>
        <family val="1"/>
      </rPr>
      <t>Packing</t>
    </r>
    <r>
      <rPr>
        <sz val="11"/>
        <color theme="1"/>
        <rFont val="ＭＳ Ｐゴシック"/>
        <family val="2"/>
        <charset val="128"/>
      </rPr>
      <t>）</t>
    </r>
    <rPh sb="0" eb="2">
      <t>コンポウ</t>
    </rPh>
    <phoneticPr fontId="4"/>
  </si>
  <si>
    <r>
      <rPr>
        <sz val="11"/>
        <color theme="1"/>
        <rFont val="ＭＳ Ｐゴシック"/>
        <family val="2"/>
      </rPr>
      <t xml:space="preserve">箱数
</t>
    </r>
    <r>
      <rPr>
        <sz val="11"/>
        <color theme="1"/>
        <rFont val="Times New Roman"/>
        <family val="1"/>
      </rPr>
      <t xml:space="preserve">( Number of Boxs) </t>
    </r>
    <rPh sb="0" eb="1">
      <t>ハコ</t>
    </rPh>
    <rPh sb="1" eb="2">
      <t>スウ</t>
    </rPh>
    <phoneticPr fontId="4"/>
  </si>
  <si>
    <r>
      <rPr>
        <sz val="11"/>
        <color theme="1"/>
        <rFont val="ＭＳ Ｐゴシック"/>
        <family val="2"/>
      </rPr>
      <t xml:space="preserve">パレット数
</t>
    </r>
    <r>
      <rPr>
        <sz val="11"/>
        <color theme="1"/>
        <rFont val="Times New Roman"/>
        <family val="1"/>
      </rPr>
      <t>( Number of Pallets)</t>
    </r>
    <rPh sb="4" eb="5">
      <t>スウ</t>
    </rPh>
    <phoneticPr fontId="4"/>
  </si>
  <si>
    <r>
      <rPr>
        <sz val="11"/>
        <color theme="1"/>
        <rFont val="ＭＳ Ｐゴシック"/>
        <family val="3"/>
        <charset val="128"/>
      </rPr>
      <t xml:space="preserve">総重量
</t>
    </r>
    <r>
      <rPr>
        <sz val="11"/>
        <color theme="1"/>
        <rFont val="Times New Roman"/>
        <family val="1"/>
      </rPr>
      <t>(Gross weight)</t>
    </r>
    <rPh sb="0" eb="3">
      <t>ソウジュウリョウ</t>
    </rPh>
    <phoneticPr fontId="4"/>
  </si>
  <si>
    <t>bag</t>
  </si>
  <si>
    <t>pcs</t>
  </si>
  <si>
    <r>
      <rPr>
        <sz val="11"/>
        <color theme="1"/>
        <rFont val="ＭＳ Ｐゴシック"/>
        <family val="2"/>
        <charset val="128"/>
      </rPr>
      <t>郵便物の個数</t>
    </r>
    <r>
      <rPr>
        <sz val="11"/>
        <color theme="1"/>
        <rFont val="Times New Roman"/>
        <family val="1"/>
      </rPr>
      <t xml:space="preserve"> ( Number of pieces, m) :</t>
    </r>
    <rPh sb="0" eb="2">
      <t>ユウビン</t>
    </rPh>
    <rPh sb="2" eb="3">
      <t>モノ</t>
    </rPh>
    <rPh sb="4" eb="6">
      <t>コスウ</t>
    </rPh>
    <phoneticPr fontId="4"/>
  </si>
  <si>
    <r>
      <rPr>
        <sz val="11"/>
        <color theme="1"/>
        <rFont val="ＭＳ Ｐゴシック"/>
        <family val="2"/>
        <charset val="128"/>
      </rPr>
      <t>総重量（</t>
    </r>
    <r>
      <rPr>
        <sz val="11"/>
        <color theme="1"/>
        <rFont val="Times New Roman"/>
        <family val="1"/>
      </rPr>
      <t xml:space="preserve">Gross weight) Kg : </t>
    </r>
    <rPh sb="0" eb="3">
      <t>ソウジュウリョウ</t>
    </rPh>
    <phoneticPr fontId="4"/>
  </si>
  <si>
    <t>pcs</t>
    <phoneticPr fontId="4"/>
  </si>
  <si>
    <r>
      <rPr>
        <sz val="11"/>
        <color theme="1"/>
        <rFont val="ＭＳ Ｐゴシック"/>
        <family val="2"/>
        <charset val="128"/>
      </rPr>
      <t>原産国（</t>
    </r>
    <r>
      <rPr>
        <sz val="11"/>
        <color theme="1"/>
        <rFont val="Times New Roman"/>
        <family val="1"/>
      </rPr>
      <t>Country of Origin) :VIETNAM</t>
    </r>
    <rPh sb="0" eb="2">
      <t>ゲンサン</t>
    </rPh>
    <rPh sb="2" eb="3">
      <t>クニ</t>
    </rPh>
    <phoneticPr fontId="4"/>
  </si>
  <si>
    <r>
      <rPr>
        <sz val="11"/>
        <color theme="1"/>
        <rFont val="ＭＳ Ｐゴシック"/>
        <family val="3"/>
        <charset val="128"/>
      </rPr>
      <t>輸送方法</t>
    </r>
    <r>
      <rPr>
        <sz val="11"/>
        <color theme="1"/>
        <rFont val="Times New Roman"/>
        <family val="1"/>
      </rPr>
      <t xml:space="preserve"> ( Shipped per) :  SEA</t>
    </r>
    <phoneticPr fontId="4"/>
  </si>
  <si>
    <r>
      <rPr>
        <sz val="11"/>
        <color theme="1"/>
        <rFont val="ＭＳ Ｐゴシック"/>
        <family val="2"/>
      </rPr>
      <t>袋</t>
    </r>
    <rPh sb="0" eb="1">
      <t>フクロ</t>
    </rPh>
    <phoneticPr fontId="4"/>
  </si>
  <si>
    <r>
      <rPr>
        <sz val="11"/>
        <color theme="1"/>
        <rFont val="ＭＳ Ｐゴシック"/>
        <family val="2"/>
      </rPr>
      <t>段ボール</t>
    </r>
    <rPh sb="0" eb="1">
      <t>ダン</t>
    </rPh>
    <phoneticPr fontId="4"/>
  </si>
  <si>
    <t>DIP TUBE</t>
    <phoneticPr fontId="4"/>
  </si>
  <si>
    <t>CIF</t>
  </si>
  <si>
    <t>COVER SIDE TRIM</t>
  </si>
  <si>
    <t>MASUGOMU 4130</t>
  </si>
  <si>
    <t>MASUGOMU 4120</t>
  </si>
  <si>
    <t>MASUGOMU 4240</t>
  </si>
  <si>
    <t>PUROTEKUTA 55788-48080</t>
  </si>
  <si>
    <t>PUROTEKUTA  55788-TOA020</t>
  </si>
  <si>
    <t>MASUKU</t>
  </si>
  <si>
    <t>MASUKU SMALL</t>
  </si>
  <si>
    <t>MASUGOMU 4140</t>
    <phoneticPr fontId="4"/>
  </si>
  <si>
    <t>MASUGOMU 4080</t>
    <phoneticPr fontId="4"/>
  </si>
  <si>
    <t>TABLE EDGE MG23</t>
    <phoneticPr fontId="4"/>
  </si>
  <si>
    <r>
      <t>KATEKUSU 3</t>
    </r>
    <r>
      <rPr>
        <sz val="12"/>
        <color theme="1"/>
        <rFont val="Times New Roman"/>
        <family val="1"/>
      </rPr>
      <t>ø 100L</t>
    </r>
    <phoneticPr fontId="4"/>
  </si>
  <si>
    <r>
      <t>KATEKUSU 3</t>
    </r>
    <r>
      <rPr>
        <sz val="12"/>
        <color theme="1"/>
        <rFont val="Times New Roman"/>
        <family val="1"/>
      </rPr>
      <t>ø 150L</t>
    </r>
    <phoneticPr fontId="4"/>
  </si>
  <si>
    <r>
      <t>KATEKUSU 4</t>
    </r>
    <r>
      <rPr>
        <sz val="12"/>
        <color theme="1"/>
        <rFont val="Times New Roman"/>
        <family val="1"/>
      </rPr>
      <t>ø 100L</t>
    </r>
    <phoneticPr fontId="4"/>
  </si>
  <si>
    <r>
      <t>KATEKUSU 5</t>
    </r>
    <r>
      <rPr>
        <sz val="12"/>
        <color theme="1"/>
        <rFont val="Times New Roman"/>
        <family val="1"/>
      </rPr>
      <t>ø 183L</t>
    </r>
    <phoneticPr fontId="4"/>
  </si>
  <si>
    <t>TABLE EDGE MI3</t>
    <phoneticPr fontId="4"/>
  </si>
  <si>
    <t>TABLE EDGE MI3 156</t>
    <phoneticPr fontId="4"/>
  </si>
  <si>
    <t>TABLE EDGE MI3 26</t>
    <phoneticPr fontId="4"/>
  </si>
  <si>
    <t>PUROTEKUTA   1422L (55788-42050)</t>
    <phoneticPr fontId="4"/>
  </si>
  <si>
    <t>PUROTEKUTA   1383L OK100</t>
    <phoneticPr fontId="4"/>
  </si>
  <si>
    <t>m</t>
    <phoneticPr fontId="4"/>
  </si>
  <si>
    <t>MASK 515222</t>
  </si>
  <si>
    <t>SHEET JOINT 150L</t>
    <phoneticPr fontId="4"/>
  </si>
  <si>
    <t>SHEET JOINT 200L</t>
    <phoneticPr fontId="4"/>
  </si>
  <si>
    <t>PUROTEKUTA 55788-K0060</t>
  </si>
  <si>
    <t>No</t>
    <phoneticPr fontId="4"/>
  </si>
  <si>
    <r>
      <rPr>
        <sz val="11"/>
        <color theme="1"/>
        <rFont val="ＭＳ Ｐゴシック"/>
        <family val="2"/>
        <charset val="128"/>
      </rPr>
      <t>品名</t>
    </r>
    <rPh sb="0" eb="2">
      <t>ヒンメイ</t>
    </rPh>
    <phoneticPr fontId="4"/>
  </si>
  <si>
    <r>
      <rPr>
        <sz val="11"/>
        <color theme="1"/>
        <rFont val="ＭＳ Ｐゴシック"/>
        <family val="2"/>
        <charset val="128"/>
      </rPr>
      <t>単価</t>
    </r>
    <rPh sb="0" eb="2">
      <t>タンカ</t>
    </rPh>
    <phoneticPr fontId="4"/>
  </si>
  <si>
    <t>重さ</t>
    <rPh sb="0" eb="1">
      <t>オモ</t>
    </rPh>
    <phoneticPr fontId="4"/>
  </si>
  <si>
    <r>
      <rPr>
        <sz val="11"/>
        <color theme="1"/>
        <rFont val="ＭＳ Ｐゴシック"/>
        <family val="2"/>
        <charset val="128"/>
      </rPr>
      <t>梱包</t>
    </r>
    <rPh sb="0" eb="2">
      <t>コンポウ</t>
    </rPh>
    <phoneticPr fontId="4"/>
  </si>
  <si>
    <r>
      <rPr>
        <sz val="11"/>
        <color theme="1"/>
        <rFont val="ＭＳ Ｐゴシック"/>
        <family val="3"/>
        <charset val="128"/>
      </rPr>
      <t>出荷数</t>
    </r>
    <rPh sb="0" eb="2">
      <t>シュッカ</t>
    </rPh>
    <rPh sb="2" eb="3">
      <t>スウ</t>
    </rPh>
    <phoneticPr fontId="4"/>
  </si>
  <si>
    <r>
      <rPr>
        <sz val="11"/>
        <color theme="1"/>
        <rFont val="ＭＳ Ｐゴシック"/>
        <family val="2"/>
      </rPr>
      <t>箱数</t>
    </r>
    <rPh sb="0" eb="1">
      <t>ハコ</t>
    </rPh>
    <rPh sb="1" eb="2">
      <t>スウ</t>
    </rPh>
    <phoneticPr fontId="4"/>
  </si>
  <si>
    <r>
      <rPr>
        <sz val="11"/>
        <color theme="1"/>
        <rFont val="ＭＳ Ｐゴシック"/>
        <family val="2"/>
      </rPr>
      <t>使用材</t>
    </r>
    <rPh sb="0" eb="2">
      <t>シヨウ</t>
    </rPh>
    <rPh sb="2" eb="3">
      <t>ザイ</t>
    </rPh>
    <phoneticPr fontId="4"/>
  </si>
  <si>
    <r>
      <rPr>
        <sz val="11"/>
        <color theme="1"/>
        <rFont val="ＭＳ Ｐゴシック"/>
        <family val="2"/>
      </rPr>
      <t>総数量</t>
    </r>
    <rPh sb="0" eb="1">
      <t>ソウ</t>
    </rPh>
    <rPh sb="1" eb="3">
      <t>スウリョウ</t>
    </rPh>
    <phoneticPr fontId="4"/>
  </si>
  <si>
    <t>単位</t>
    <rPh sb="0" eb="2">
      <t>タンイ</t>
    </rPh>
    <phoneticPr fontId="4"/>
  </si>
  <si>
    <t>MASUGOMU 4090</t>
  </si>
  <si>
    <r>
      <t>KATEKUSU 2.5</t>
    </r>
    <r>
      <rPr>
        <sz val="12"/>
        <color theme="1"/>
        <rFont val="Times New Roman"/>
        <family val="1"/>
      </rPr>
      <t>ø 73L</t>
    </r>
    <phoneticPr fontId="4"/>
  </si>
  <si>
    <r>
      <t>KATEKUSU 2.5</t>
    </r>
    <r>
      <rPr>
        <sz val="12"/>
        <color theme="1"/>
        <rFont val="Times New Roman"/>
        <family val="1"/>
      </rPr>
      <t>ø 100L</t>
    </r>
    <phoneticPr fontId="4"/>
  </si>
  <si>
    <t>SHEET JOINT 100L</t>
    <phoneticPr fontId="4"/>
  </si>
  <si>
    <t>SHEET JOINT 290L</t>
    <phoneticPr fontId="4"/>
  </si>
  <si>
    <t>TABLE EDGE MI3 256</t>
    <phoneticPr fontId="4"/>
  </si>
  <si>
    <t>TABLE EDGE MI3 36</t>
    <phoneticPr fontId="4"/>
  </si>
  <si>
    <t>TABLE EDGE MI3 155</t>
    <phoneticPr fontId="4"/>
  </si>
  <si>
    <t>TABLE EDGE MI3 25</t>
    <phoneticPr fontId="4"/>
  </si>
  <si>
    <t>PUROTEKUTA  55788-TOA0010</t>
  </si>
  <si>
    <t>PUROTEKUTA 2A4P1-018G</t>
    <phoneticPr fontId="4"/>
  </si>
  <si>
    <t>PUROTEKUTA 55788-60080</t>
    <phoneticPr fontId="4"/>
  </si>
  <si>
    <t>PUROTEKUTA 2A4P1-022G</t>
    <phoneticPr fontId="39"/>
  </si>
  <si>
    <t>Debuchubu</t>
  </si>
  <si>
    <t>PLASTIC TUBE</t>
    <phoneticPr fontId="4"/>
  </si>
  <si>
    <t xml:space="preserve">MASK </t>
    <phoneticPr fontId="4"/>
  </si>
  <si>
    <t>9.8/thung</t>
  </si>
  <si>
    <t>8.2/thung</t>
  </si>
  <si>
    <t>PUROTEKUTA 55788-60110</t>
  </si>
  <si>
    <t>PUROTEKUTA 55788-16110</t>
  </si>
  <si>
    <t>GENTLE EAR NON-WOVEN MASK REGULAR</t>
  </si>
  <si>
    <t>200 bag/Box</t>
  </si>
  <si>
    <t>GENTLE EAR NON-WOVEN MASK SMALL</t>
  </si>
  <si>
    <t>8.3/thung</t>
  </si>
  <si>
    <t>9.4/hung</t>
  </si>
  <si>
    <t>CIF TO NAGOYA PORT</t>
    <phoneticPr fontId="5"/>
  </si>
  <si>
    <t>MASK 515221</t>
  </si>
  <si>
    <t>MASK 515223</t>
  </si>
  <si>
    <t>注文書No
PO No</t>
  </si>
  <si>
    <t>商品見本（ Sample, No Commercial Value )</t>
  </si>
  <si>
    <t>11.5kg/thung</t>
  </si>
  <si>
    <t>9.7kg/thung</t>
  </si>
  <si>
    <t>11kg/thung</t>
  </si>
  <si>
    <t>PUROTEKUTA 55788-02270</t>
  </si>
  <si>
    <t>LOT NO1 DONG VANG DINH TRAM INDUSTRIAL ZONE</t>
  </si>
  <si>
    <t>MASK 515530</t>
  </si>
  <si>
    <t>MASK 515531</t>
  </si>
  <si>
    <t>MASK 34931</t>
  </si>
  <si>
    <t>MASK 34933</t>
  </si>
  <si>
    <t>6kg</t>
  </si>
  <si>
    <t>5kg</t>
  </si>
  <si>
    <t>2.9kg</t>
  </si>
  <si>
    <t>2.4kg</t>
  </si>
  <si>
    <t>MASK  34927</t>
  </si>
  <si>
    <t>MASK  34928</t>
  </si>
  <si>
    <t>MASK  34929</t>
  </si>
  <si>
    <t>MASK  34930</t>
  </si>
  <si>
    <r>
      <rPr>
        <sz val="11"/>
        <color theme="1"/>
        <rFont val="ＭＳ Ｐゴシック"/>
        <family val="2"/>
        <charset val="128"/>
      </rPr>
      <t>合計　（</t>
    </r>
    <r>
      <rPr>
        <sz val="11"/>
        <color theme="1"/>
        <rFont val="Times New Roman"/>
        <family val="1"/>
      </rPr>
      <t>Total)</t>
    </r>
  </si>
  <si>
    <t>PUROTEKUTA 2A4P1-022G</t>
  </si>
  <si>
    <t xml:space="preserve">MASK KOSOU FUKURO </t>
  </si>
  <si>
    <t>MASK KOSOU FUKURO LILAC</t>
  </si>
  <si>
    <t>Mask C01036 White</t>
  </si>
  <si>
    <t>6.9kg</t>
  </si>
  <si>
    <t>Mask C01036 Light gray</t>
  </si>
  <si>
    <t>Mask C01036 Gray</t>
  </si>
  <si>
    <t>Mask C01036 Beige</t>
  </si>
  <si>
    <t>Mask C01036 Pink</t>
  </si>
  <si>
    <t>Mask C01036 Lilac</t>
  </si>
  <si>
    <t>Mask C01038 White</t>
  </si>
  <si>
    <t>Mask C01037 White</t>
  </si>
  <si>
    <t>40bag/box</t>
  </si>
  <si>
    <t>Mask C01037 Light gray</t>
  </si>
  <si>
    <t>Mask C01037 Gray</t>
  </si>
  <si>
    <t>Mask C01037 Beige</t>
  </si>
  <si>
    <t>Mask C01037 Pink</t>
  </si>
  <si>
    <t>Mask C01037 Lilac</t>
  </si>
  <si>
    <t>Mask C01039 White</t>
  </si>
  <si>
    <t>Mask C01072 Stylist</t>
  </si>
  <si>
    <t>Mask C01074 Sweet</t>
  </si>
  <si>
    <t>Pallet  (No Commerical Value)</t>
  </si>
  <si>
    <t>TABLE EDGE MG23</t>
  </si>
  <si>
    <t>LDBA044800-8 DOOR CENTER SASH</t>
  </si>
  <si>
    <t>LDBA045100-8 DOOR CENTER SASH</t>
  </si>
  <si>
    <t>Mã HS code</t>
  </si>
  <si>
    <t>SL2</t>
  </si>
  <si>
    <t>Kg</t>
  </si>
  <si>
    <t>PCE</t>
  </si>
  <si>
    <t>MASK KOSOU FUKURO PINK</t>
  </si>
  <si>
    <t>MASK KOSOU FUKURO LIGHT GRAY</t>
  </si>
  <si>
    <t>MASK KOSOU FUKURO GRAY</t>
  </si>
  <si>
    <t>MASK KOSOU FUKURO BEIGE</t>
  </si>
  <si>
    <r>
      <t>KATEKUSU 3</t>
    </r>
    <r>
      <rPr>
        <sz val="12"/>
        <color theme="1"/>
        <rFont val="Times New Roman"/>
        <family val="1"/>
      </rPr>
      <t>ø 30L</t>
    </r>
  </si>
  <si>
    <r>
      <t>KATEKUSU 3</t>
    </r>
    <r>
      <rPr>
        <sz val="12"/>
        <color theme="1"/>
        <rFont val="Times New Roman"/>
        <family val="1"/>
      </rPr>
      <t>ø 40L</t>
    </r>
  </si>
  <si>
    <r>
      <t>KATEKUSU 3</t>
    </r>
    <r>
      <rPr>
        <sz val="12"/>
        <color theme="1"/>
        <rFont val="Times New Roman"/>
        <family val="1"/>
      </rPr>
      <t>ø 45L</t>
    </r>
  </si>
  <si>
    <r>
      <t>KATEKUSU 3</t>
    </r>
    <r>
      <rPr>
        <sz val="12"/>
        <color theme="1"/>
        <rFont val="Times New Roman"/>
        <family val="1"/>
      </rPr>
      <t>ø 90L</t>
    </r>
  </si>
  <si>
    <r>
      <t>KATEKUSU 4</t>
    </r>
    <r>
      <rPr>
        <sz val="12"/>
        <color theme="1"/>
        <rFont val="Times New Roman"/>
        <family val="1"/>
      </rPr>
      <t>ø 50L</t>
    </r>
  </si>
  <si>
    <r>
      <t>KATEKUSU 2.5</t>
    </r>
    <r>
      <rPr>
        <sz val="12"/>
        <color theme="1"/>
        <rFont val="Times New Roman"/>
        <family val="1"/>
      </rPr>
      <t>ø 95L</t>
    </r>
  </si>
  <si>
    <r>
      <t>KATEKUSU 2.5</t>
    </r>
    <r>
      <rPr>
        <sz val="12"/>
        <color theme="1"/>
        <rFont val="Times New Roman"/>
        <family val="1"/>
      </rPr>
      <t>ø 135L</t>
    </r>
  </si>
  <si>
    <r>
      <t>KATEKUSU 2.5</t>
    </r>
    <r>
      <rPr>
        <sz val="12"/>
        <color theme="1"/>
        <rFont val="Times New Roman"/>
        <family val="1"/>
      </rPr>
      <t>ø 50L</t>
    </r>
  </si>
  <si>
    <t>PUROTEKUTA 55788-48090</t>
  </si>
  <si>
    <t>PUROTEKUTA 55788-52350</t>
  </si>
  <si>
    <t>PUROTEKUTA 55788-52360</t>
  </si>
  <si>
    <t>RAB0344 - N</t>
  </si>
  <si>
    <t>RAB0422 - N</t>
  </si>
  <si>
    <t>RAB0938-V - N</t>
  </si>
  <si>
    <t>RAA940-R - N</t>
  </si>
  <si>
    <t>LDBA094401-0 FRAME BRAKER(TB)-803</t>
  </si>
  <si>
    <t>LDBA094402-0 FRAME BRAKER(RL)-803</t>
  </si>
  <si>
    <t>LDBA095001-0 DOOR GLASS SASH(TB)-803</t>
  </si>
  <si>
    <t>LDBA095002-0 DOOR GLASS SASH(RL)-803</t>
  </si>
  <si>
    <t>LDBA095101-0 DOOR BRAKER(TB)-803</t>
  </si>
  <si>
    <t>LDBA095102-0 DOOR BRAKER(RL)-803</t>
  </si>
  <si>
    <t>Carton 1450x310x100 mm</t>
  </si>
  <si>
    <t>TABLE EDGE MI3 156</t>
  </si>
  <si>
    <t>RAB0938-V+H450 - N</t>
  </si>
  <si>
    <t>RAA0940-R+H450</t>
  </si>
  <si>
    <t>NENH WARD BAC NINH PROVINCE</t>
  </si>
  <si>
    <t>LDLA243400-0 FRAME PACKING u</t>
  </si>
  <si>
    <t>LDLA243800-0 BREAKER SEAL PACKING u</t>
  </si>
  <si>
    <t>GỐI XÁM</t>
  </si>
  <si>
    <t>set</t>
  </si>
  <si>
    <t>PILLOW</t>
  </si>
  <si>
    <t>MASK 42811</t>
  </si>
  <si>
    <t>インボイス作成日（Date): 5/12/2025</t>
    <phoneticPr fontId="4"/>
  </si>
  <si>
    <t>Invoice No
MASUDA VN-JP 019/25</t>
    <phoneticPr fontId="4"/>
  </si>
  <si>
    <t>1/3</t>
    <phoneticPr fontId="4"/>
  </si>
  <si>
    <t>1/4</t>
  </si>
  <si>
    <t>1/5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</si>
</sst>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176" formatCode="_(* #,##0.00_);_(* \(#,##0.00\);_(* &quot;-&quot;??_);_(@_)"/>
    <numFmt numFmtId="177" formatCode="&quot;$&quot;\ \ \ 0.00"/>
    <numFmt numFmtId="178" formatCode="0.00\ &quot;kg&quot;"/>
    <numFmt numFmtId="179" formatCode="0.0\ &quot;g&quot;"/>
    <numFmt numFmtId="180" formatCode="000"/>
    <numFmt numFmtId="181" formatCode="0\ \ \ "/>
    <numFmt numFmtId="182" formatCode="0.0\ &quot;kg/巻&quot;"/>
    <numFmt numFmtId="183" formatCode="0.0\ &quot;kg&quot;"/>
    <numFmt numFmtId="184" formatCode="0\ \ \ &quot;m&quot;"/>
    <numFmt numFmtId="185" formatCode="0\ \ \ &quot;pcs&quot;"/>
    <numFmt numFmtId="186" formatCode="0\ \ &quot;Boxs&quot;"/>
    <numFmt numFmtId="187" formatCode="0\ \ \ &quot;Pallets&quot;"/>
    <numFmt numFmtId="188" formatCode="0\ \ &quot;kg&quot;"/>
    <numFmt numFmtId="189" formatCode="0\ \ &quot;mm&quot;"/>
    <numFmt numFmtId="190" formatCode="0.0\ \ &quot;kg&quot;"/>
    <numFmt numFmtId="191" formatCode="0.00\ \ &quot;kg&quot;"/>
    <numFmt numFmtId="192" formatCode="0.0_ "/>
    <numFmt numFmtId="193" formatCode="0.00\ &quot;g&quot;"/>
    <numFmt numFmtId="194" formatCode="0.000\ &quot;$&quot;"/>
    <numFmt numFmtId="195" formatCode="0.00\ &quot;CBM&quot;"/>
    <numFmt numFmtId="196" formatCode="0\ &quot;本迄&quot;"/>
    <numFmt numFmtId="197" formatCode="0\ &quot;m/roll&quot;"/>
    <numFmt numFmtId="198" formatCode="0\ &quot;pcs/Box&quot;"/>
    <numFmt numFmtId="199" formatCode="0\ \ &quot;g&quot;"/>
    <numFmt numFmtId="200" formatCode="0\ &quot;bag/box&quot;"/>
    <numFmt numFmtId="201" formatCode="0\ \ \ &quot;bag&quot;"/>
    <numFmt numFmtId="202" formatCode="0.0000\ &quot;$&quot;"/>
    <numFmt numFmtId="203" formatCode="&quot;$&quot;\ \ \ 0.0000"/>
    <numFmt numFmtId="204" formatCode="0.0000"/>
    <numFmt numFmtId="205" formatCode="0\ &quot;pallet&quot;"/>
    <numFmt numFmtId="206" formatCode="0\ &quot;pcs/Bag&quot;"/>
    <numFmt numFmtId="207" formatCode="0.0\ &quot;g/m&quot;"/>
    <numFmt numFmtId="208" formatCode="00"/>
    <numFmt numFmtId="209" formatCode="0\ &quot;set/Box&quot;"/>
    <numFmt numFmtId="210" formatCode="0\ \ &quot;Roll&quot;"/>
  </numFmts>
  <fonts count="47">
    <font>
      <sz val="11"/>
      <color theme="1"/>
      <name val="ＭＳ Ｐゴシック"/>
      <family val="2"/>
      <charset val="128"/>
      <scheme val="maj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2"/>
      <charset val="128"/>
      <scheme val="major"/>
    </font>
    <font>
      <b/>
      <sz val="11"/>
      <name val="Times New Roman"/>
      <family val="1"/>
    </font>
    <font>
      <sz val="6"/>
      <name val="ＭＳ Ｐゴシック"/>
      <family val="3"/>
      <charset val="128"/>
    </font>
    <font>
      <sz val="11"/>
      <name val="Times New Roman"/>
      <family val="1"/>
    </font>
    <font>
      <b/>
      <sz val="9"/>
      <name val="Times New Roman"/>
      <family val="1"/>
    </font>
    <font>
      <sz val="9"/>
      <color theme="1"/>
      <name val="ＭＳ Ｐゴシック"/>
      <family val="2"/>
      <charset val="128"/>
      <scheme val="major"/>
    </font>
    <font>
      <sz val="9"/>
      <name val="Times New Roman"/>
      <family val="1"/>
    </font>
    <font>
      <b/>
      <sz val="9"/>
      <name val="ＭＳ Ｐゴシック"/>
      <family val="2"/>
      <scheme val="minor"/>
    </font>
    <font>
      <sz val="9"/>
      <color theme="1"/>
      <name val="ＭＳ Ｐゴシック"/>
      <family val="2"/>
      <scheme val="major"/>
    </font>
    <font>
      <u/>
      <sz val="11"/>
      <color theme="1"/>
      <name val="ＭＳ Ｐゴシック"/>
      <family val="2"/>
      <scheme val="major"/>
    </font>
    <font>
      <b/>
      <sz val="26"/>
      <color theme="1"/>
      <name val="ＭＳ Ｐゴシック"/>
      <family val="2"/>
      <scheme val="major"/>
    </font>
    <font>
      <sz val="6"/>
      <name val="ＭＳ Ｐゴシック"/>
      <family val="2"/>
      <charset val="128"/>
    </font>
    <font>
      <b/>
      <sz val="10"/>
      <name val="Times New Roman"/>
      <family val="1"/>
    </font>
    <font>
      <b/>
      <sz val="10"/>
      <name val="ＭＳ Ｐ明朝"/>
      <family val="1"/>
      <charset val="128"/>
    </font>
    <font>
      <b/>
      <u/>
      <sz val="11"/>
      <name val="Times New Roman"/>
      <family val="1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ＭＳ Ｐゴシック"/>
      <family val="2"/>
      <charset val="128"/>
    </font>
    <font>
      <b/>
      <sz val="11"/>
      <color theme="1"/>
      <name val="Times New Roman"/>
      <family val="1"/>
    </font>
    <font>
      <b/>
      <sz val="11"/>
      <color theme="1"/>
      <name val="ＭＳ Ｐゴシック"/>
      <family val="3"/>
      <charset val="128"/>
    </font>
    <font>
      <sz val="9"/>
      <color theme="1"/>
      <name val="Times New Roman"/>
      <family val="1"/>
    </font>
    <font>
      <b/>
      <sz val="11"/>
      <name val="ＭＳ Ｐゴシック"/>
      <family val="2"/>
    </font>
    <font>
      <u/>
      <sz val="11"/>
      <color theme="1"/>
      <name val="Times New Roman"/>
      <family val="1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1"/>
      <name val="Times New Roman"/>
      <family val="1"/>
    </font>
    <font>
      <sz val="11"/>
      <color theme="1"/>
      <name val="ＭＳ Ｐゴシック"/>
      <family val="2"/>
    </font>
    <font>
      <sz val="9"/>
      <color theme="1"/>
      <name val="ＭＳ Ｐゴシック"/>
      <family val="2"/>
    </font>
    <font>
      <sz val="11"/>
      <color theme="0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sz val="11"/>
      <color theme="1"/>
      <name val="HGKyokashotai"/>
      <family val="1"/>
      <charset val="128"/>
    </font>
    <font>
      <b/>
      <sz val="14"/>
      <name val="Times New Roman"/>
      <family val="1"/>
    </font>
    <font>
      <sz val="16"/>
      <color theme="1"/>
      <name val="ＭＳ Ｐゴシック"/>
      <family val="2"/>
      <charset val="128"/>
      <scheme val="major"/>
    </font>
    <font>
      <b/>
      <sz val="11"/>
      <name val="ＭＳ Ｐ明朝"/>
      <family val="1"/>
      <charset val="128"/>
    </font>
    <font>
      <sz val="6"/>
      <name val="ＭＳ Ｐゴシック"/>
      <family val="2"/>
      <charset val="128"/>
      <scheme val="minor"/>
    </font>
    <font>
      <b/>
      <sz val="11"/>
      <color theme="1"/>
      <name val="Wingdings 2"/>
      <family val="1"/>
      <charset val="2"/>
    </font>
    <font>
      <sz val="11"/>
      <color theme="1"/>
      <name val="ＭＳ Ｐゴシック"/>
      <family val="2"/>
      <charset val="128"/>
      <scheme val="major"/>
    </font>
    <font>
      <b/>
      <sz val="11"/>
      <color theme="1"/>
      <name val="ＭＳ Ｐゴシック"/>
      <family val="2"/>
      <charset val="128"/>
    </font>
    <font>
      <sz val="10"/>
      <color theme="1"/>
      <name val="Times New Roman"/>
      <family val="1"/>
    </font>
    <font>
      <b/>
      <sz val="14"/>
      <name val="ＭＳ Ｐ明朝"/>
      <family val="1"/>
      <charset val="128"/>
    </font>
    <font>
      <sz val="10"/>
      <color theme="1"/>
      <name val="ＭＳ Ｐゴシック"/>
      <family val="2"/>
      <scheme val="major"/>
    </font>
    <font>
      <sz val="11"/>
      <color theme="1"/>
      <name val="Times New Roman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>
      <alignment vertical="center"/>
    </xf>
    <xf numFmtId="0" fontId="28" fillId="0" borderId="0">
      <alignment vertical="center"/>
    </xf>
    <xf numFmtId="38" fontId="28" fillId="0" borderId="0" applyFont="0" applyFill="0" applyBorder="0" applyAlignment="0" applyProtection="0">
      <alignment vertical="center"/>
    </xf>
    <xf numFmtId="0" fontId="34" fillId="0" borderId="0"/>
    <xf numFmtId="176" fontId="41" fillId="0" borderId="0" applyFont="0" applyFill="0" applyBorder="0" applyAlignment="0" applyProtection="0"/>
    <xf numFmtId="0" fontId="3" fillId="0" borderId="0"/>
  </cellStyleXfs>
  <cellXfs count="29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13" fillId="0" borderId="0" xfId="0" applyFont="1">
      <alignment vertical="center"/>
    </xf>
    <xf numFmtId="0" fontId="9" fillId="0" borderId="1" xfId="0" applyFont="1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4" xfId="0" applyBorder="1">
      <alignment vertical="center"/>
    </xf>
    <xf numFmtId="0" fontId="11" fillId="0" borderId="20" xfId="0" applyFont="1" applyBorder="1">
      <alignment vertical="center"/>
    </xf>
    <xf numFmtId="0" fontId="0" fillId="0" borderId="27" xfId="0" applyBorder="1">
      <alignment vertical="center"/>
    </xf>
    <xf numFmtId="0" fontId="0" fillId="0" borderId="30" xfId="0" applyBorder="1">
      <alignment vertical="center"/>
    </xf>
    <xf numFmtId="0" fontId="10" fillId="0" borderId="0" xfId="0" applyFont="1">
      <alignment vertical="center"/>
    </xf>
    <xf numFmtId="0" fontId="18" fillId="0" borderId="0" xfId="0" applyFont="1">
      <alignment vertical="center"/>
    </xf>
    <xf numFmtId="0" fontId="20" fillId="0" borderId="0" xfId="0" applyFont="1">
      <alignment vertical="center"/>
    </xf>
    <xf numFmtId="0" fontId="20" fillId="0" borderId="27" xfId="0" applyFont="1" applyBorder="1">
      <alignment vertical="center"/>
    </xf>
    <xf numFmtId="0" fontId="22" fillId="0" borderId="15" xfId="0" applyFont="1" applyBorder="1">
      <alignment vertical="center"/>
    </xf>
    <xf numFmtId="0" fontId="20" fillId="0" borderId="16" xfId="0" applyFont="1" applyBorder="1">
      <alignment vertical="center"/>
    </xf>
    <xf numFmtId="0" fontId="20" fillId="0" borderId="20" xfId="0" applyFont="1" applyBorder="1">
      <alignment vertical="center"/>
    </xf>
    <xf numFmtId="0" fontId="20" fillId="0" borderId="24" xfId="0" applyFont="1" applyBorder="1">
      <alignment vertical="center"/>
    </xf>
    <xf numFmtId="0" fontId="20" fillId="0" borderId="2" xfId="0" applyFont="1" applyBorder="1">
      <alignment vertical="center"/>
    </xf>
    <xf numFmtId="0" fontId="5" fillId="0" borderId="25" xfId="0" applyFont="1" applyBorder="1">
      <alignment vertical="center"/>
    </xf>
    <xf numFmtId="0" fontId="20" fillId="0" borderId="6" xfId="0" applyFont="1" applyBorder="1">
      <alignment vertical="center"/>
    </xf>
    <xf numFmtId="0" fontId="8" fillId="0" borderId="20" xfId="0" applyFont="1" applyBorder="1">
      <alignment vertical="center"/>
    </xf>
    <xf numFmtId="0" fontId="20" fillId="0" borderId="21" xfId="0" applyFont="1" applyBorder="1">
      <alignment vertical="center"/>
    </xf>
    <xf numFmtId="0" fontId="20" fillId="0" borderId="30" xfId="0" applyFont="1" applyBorder="1">
      <alignment vertical="center"/>
    </xf>
    <xf numFmtId="0" fontId="26" fillId="0" borderId="0" xfId="0" applyFont="1">
      <alignment vertical="center"/>
    </xf>
    <xf numFmtId="0" fontId="7" fillId="0" borderId="0" xfId="1" applyFont="1">
      <alignment vertical="center"/>
    </xf>
    <xf numFmtId="0" fontId="5" fillId="0" borderId="24" xfId="0" applyFont="1" applyBorder="1">
      <alignment vertical="center"/>
    </xf>
    <xf numFmtId="0" fontId="7" fillId="0" borderId="2" xfId="0" applyFont="1" applyBorder="1">
      <alignment vertical="center"/>
    </xf>
    <xf numFmtId="0" fontId="30" fillId="0" borderId="0" xfId="0" applyFont="1">
      <alignment vertical="center"/>
    </xf>
    <xf numFmtId="0" fontId="20" fillId="0" borderId="4" xfId="0" applyFont="1" applyBorder="1">
      <alignment vertical="center"/>
    </xf>
    <xf numFmtId="0" fontId="20" fillId="0" borderId="22" xfId="0" applyFont="1" applyBorder="1">
      <alignment vertical="center"/>
    </xf>
    <xf numFmtId="0" fontId="5" fillId="0" borderId="0" xfId="0" applyFont="1" applyAlignment="1">
      <alignment vertical="top" wrapText="1"/>
    </xf>
    <xf numFmtId="0" fontId="22" fillId="0" borderId="0" xfId="0" applyFont="1">
      <alignment vertical="center"/>
    </xf>
    <xf numFmtId="0" fontId="24" fillId="0" borderId="0" xfId="0" applyFont="1">
      <alignment vertical="center"/>
    </xf>
    <xf numFmtId="0" fontId="5" fillId="0" borderId="1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17" xfId="0" applyFont="1" applyBorder="1" applyAlignment="1">
      <alignment vertical="top" wrapText="1"/>
    </xf>
    <xf numFmtId="178" fontId="20" fillId="0" borderId="0" xfId="0" applyNumberFormat="1" applyFont="1" applyAlignment="1">
      <alignment horizontal="left" vertical="center"/>
    </xf>
    <xf numFmtId="179" fontId="20" fillId="2" borderId="4" xfId="0" applyNumberFormat="1" applyFont="1" applyFill="1" applyBorder="1" applyAlignment="1">
      <alignment horizontal="center" vertical="center"/>
    </xf>
    <xf numFmtId="183" fontId="20" fillId="0" borderId="4" xfId="0" applyNumberFormat="1" applyFont="1" applyBorder="1" applyAlignment="1">
      <alignment horizontal="center" vertical="center"/>
    </xf>
    <xf numFmtId="189" fontId="20" fillId="0" borderId="0" xfId="0" applyNumberFormat="1" applyFont="1">
      <alignment vertical="center"/>
    </xf>
    <xf numFmtId="182" fontId="20" fillId="0" borderId="4" xfId="0" applyNumberFormat="1" applyFont="1" applyBorder="1" applyAlignment="1">
      <alignment horizontal="center" vertical="center"/>
    </xf>
    <xf numFmtId="191" fontId="20" fillId="0" borderId="4" xfId="0" applyNumberFormat="1" applyFont="1" applyBorder="1" applyAlignment="1">
      <alignment horizontal="center" vertical="center"/>
    </xf>
    <xf numFmtId="192" fontId="20" fillId="0" borderId="0" xfId="0" applyNumberFormat="1" applyFont="1">
      <alignment vertical="center"/>
    </xf>
    <xf numFmtId="178" fontId="20" fillId="0" borderId="4" xfId="0" applyNumberFormat="1" applyFont="1" applyBorder="1" applyAlignment="1">
      <alignment horizontal="center" vertical="center"/>
    </xf>
    <xf numFmtId="193" fontId="20" fillId="0" borderId="4" xfId="0" applyNumberFormat="1" applyFont="1" applyBorder="1" applyAlignment="1">
      <alignment horizontal="center" vertical="center"/>
    </xf>
    <xf numFmtId="1" fontId="20" fillId="0" borderId="0" xfId="0" applyNumberFormat="1" applyFont="1">
      <alignment vertical="center"/>
    </xf>
    <xf numFmtId="0" fontId="32" fillId="2" borderId="0" xfId="0" applyFont="1" applyFill="1" applyAlignment="1">
      <alignment horizontal="center" vertical="center"/>
    </xf>
    <xf numFmtId="179" fontId="32" fillId="2" borderId="0" xfId="0" applyNumberFormat="1" applyFont="1" applyFill="1" applyAlignment="1">
      <alignment horizontal="center" vertical="center"/>
    </xf>
    <xf numFmtId="181" fontId="32" fillId="2" borderId="0" xfId="0" applyNumberFormat="1" applyFont="1" applyFill="1" applyAlignment="1">
      <alignment horizontal="center" vertical="center"/>
    </xf>
    <xf numFmtId="183" fontId="32" fillId="2" borderId="0" xfId="0" applyNumberFormat="1" applyFont="1" applyFill="1" applyAlignment="1">
      <alignment horizontal="center" vertical="center"/>
    </xf>
    <xf numFmtId="178" fontId="32" fillId="2" borderId="0" xfId="0" applyNumberFormat="1" applyFont="1" applyFill="1" applyAlignment="1">
      <alignment horizontal="center" vertical="center"/>
    </xf>
    <xf numFmtId="195" fontId="20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92" fontId="0" fillId="0" borderId="0" xfId="0" applyNumberFormat="1">
      <alignment vertical="center"/>
    </xf>
    <xf numFmtId="194" fontId="20" fillId="0" borderId="4" xfId="0" applyNumberFormat="1" applyFont="1" applyBorder="1" applyAlignment="1">
      <alignment horizontal="center" vertical="center"/>
    </xf>
    <xf numFmtId="198" fontId="20" fillId="0" borderId="4" xfId="0" applyNumberFormat="1" applyFont="1" applyBorder="1" applyAlignment="1">
      <alignment horizontal="center" vertical="center"/>
    </xf>
    <xf numFmtId="197" fontId="20" fillId="0" borderId="4" xfId="0" applyNumberFormat="1" applyFont="1" applyBorder="1" applyAlignment="1">
      <alignment horizontal="center" vertical="center"/>
    </xf>
    <xf numFmtId="196" fontId="20" fillId="0" borderId="0" xfId="0" applyNumberFormat="1" applyFont="1">
      <alignment vertical="center"/>
    </xf>
    <xf numFmtId="0" fontId="35" fillId="0" borderId="0" xfId="0" applyFont="1">
      <alignment vertical="center"/>
    </xf>
    <xf numFmtId="199" fontId="20" fillId="0" borderId="4" xfId="0" applyNumberFormat="1" applyFont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27" fillId="3" borderId="4" xfId="0" applyFont="1" applyFill="1" applyBorder="1" applyAlignment="1">
      <alignment horizontal="center" vertical="center"/>
    </xf>
    <xf numFmtId="0" fontId="7" fillId="0" borderId="20" xfId="0" applyFont="1" applyBorder="1">
      <alignment vertical="center"/>
    </xf>
    <xf numFmtId="0" fontId="7" fillId="0" borderId="1" xfId="0" applyFont="1" applyBorder="1">
      <alignment vertical="center"/>
    </xf>
    <xf numFmtId="0" fontId="36" fillId="0" borderId="20" xfId="0" applyFont="1" applyBorder="1">
      <alignment vertical="center"/>
    </xf>
    <xf numFmtId="0" fontId="37" fillId="0" borderId="2" xfId="0" applyFont="1" applyBorder="1">
      <alignment vertical="center"/>
    </xf>
    <xf numFmtId="0" fontId="35" fillId="3" borderId="4" xfId="0" applyFont="1" applyFill="1" applyBorder="1" applyAlignment="1">
      <alignment horizontal="center" vertical="center"/>
    </xf>
    <xf numFmtId="179" fontId="20" fillId="0" borderId="4" xfId="0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79" fontId="20" fillId="2" borderId="13" xfId="0" applyNumberFormat="1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40" fillId="0" borderId="4" xfId="0" applyFont="1" applyBorder="1" applyAlignment="1">
      <alignment horizontal="center" vertical="center"/>
    </xf>
    <xf numFmtId="200" fontId="20" fillId="0" borderId="4" xfId="0" applyNumberFormat="1" applyFont="1" applyBorder="1" applyAlignment="1">
      <alignment horizontal="center" vertical="center"/>
    </xf>
    <xf numFmtId="176" fontId="20" fillId="0" borderId="0" xfId="4" applyFont="1" applyBorder="1" applyAlignment="1">
      <alignment vertical="center"/>
    </xf>
    <xf numFmtId="202" fontId="20" fillId="0" borderId="4" xfId="0" applyNumberFormat="1" applyFont="1" applyBorder="1" applyAlignment="1">
      <alignment horizontal="center" vertical="center"/>
    </xf>
    <xf numFmtId="184" fontId="20" fillId="0" borderId="0" xfId="0" applyNumberFormat="1" applyFont="1">
      <alignment vertical="center"/>
    </xf>
    <xf numFmtId="1" fontId="20" fillId="0" borderId="4" xfId="0" applyNumberFormat="1" applyFont="1" applyBorder="1" applyAlignment="1">
      <alignment horizontal="center" vertical="center"/>
    </xf>
    <xf numFmtId="191" fontId="20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20" fillId="0" borderId="4" xfId="0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01" fontId="20" fillId="0" borderId="0" xfId="0" applyNumberFormat="1" applyFont="1">
      <alignment vertical="center"/>
    </xf>
    <xf numFmtId="204" fontId="20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18" fillId="0" borderId="0" xfId="1" applyFont="1" applyAlignment="1">
      <alignment horizontal="left" vertical="center"/>
    </xf>
    <xf numFmtId="0" fontId="29" fillId="0" borderId="0" xfId="1" applyFont="1" applyAlignment="1">
      <alignment horizontal="left" vertical="center"/>
    </xf>
    <xf numFmtId="179" fontId="7" fillId="2" borderId="0" xfId="0" applyNumberFormat="1" applyFont="1" applyFill="1" applyAlignment="1">
      <alignment horizontal="center" vertical="center"/>
    </xf>
    <xf numFmtId="0" fontId="45" fillId="0" borderId="0" xfId="0" applyFont="1">
      <alignment vertical="center"/>
    </xf>
    <xf numFmtId="1" fontId="26" fillId="0" borderId="0" xfId="0" applyNumberFormat="1" applyFont="1">
      <alignment vertical="center"/>
    </xf>
    <xf numFmtId="185" fontId="20" fillId="0" borderId="0" xfId="0" applyNumberFormat="1" applyFont="1" applyAlignment="1">
      <alignment horizontal="left" vertical="center"/>
    </xf>
    <xf numFmtId="194" fontId="20" fillId="3" borderId="4" xfId="0" applyNumberFormat="1" applyFont="1" applyFill="1" applyBorder="1" applyAlignment="1">
      <alignment horizontal="center" vertical="center"/>
    </xf>
    <xf numFmtId="180" fontId="0" fillId="0" borderId="0" xfId="0" applyNumberFormat="1">
      <alignment vertical="center"/>
    </xf>
    <xf numFmtId="0" fontId="20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206" fontId="20" fillId="0" borderId="4" xfId="0" applyNumberFormat="1" applyFont="1" applyBorder="1" applyAlignment="1">
      <alignment horizontal="center" vertical="center"/>
    </xf>
    <xf numFmtId="187" fontId="20" fillId="0" borderId="0" xfId="0" applyNumberFormat="1" applyFont="1" applyAlignment="1">
      <alignment horizontal="center" vertical="center"/>
    </xf>
    <xf numFmtId="0" fontId="20" fillId="2" borderId="53" xfId="0" applyFont="1" applyFill="1" applyBorder="1" applyAlignment="1">
      <alignment horizontal="center" vertical="center"/>
    </xf>
    <xf numFmtId="0" fontId="20" fillId="0" borderId="4" xfId="0" applyFont="1" applyBorder="1" applyAlignment="1">
      <alignment vertical="center" wrapText="1"/>
    </xf>
    <xf numFmtId="178" fontId="20" fillId="0" borderId="34" xfId="0" applyNumberFormat="1" applyFont="1" applyBorder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207" fontId="20" fillId="0" borderId="4" xfId="0" applyNumberFormat="1" applyFont="1" applyBorder="1" applyAlignment="1">
      <alignment horizontal="center" vertical="center"/>
    </xf>
    <xf numFmtId="0" fontId="0" fillId="0" borderId="11" xfId="0" applyBorder="1">
      <alignment vertical="center"/>
    </xf>
    <xf numFmtId="194" fontId="20" fillId="4" borderId="4" xfId="0" applyNumberFormat="1" applyFont="1" applyFill="1" applyBorder="1" applyAlignment="1">
      <alignment horizontal="center" vertical="center"/>
    </xf>
    <xf numFmtId="194" fontId="7" fillId="5" borderId="4" xfId="0" applyNumberFormat="1" applyFont="1" applyFill="1" applyBorder="1" applyAlignment="1">
      <alignment horizontal="center" vertical="center"/>
    </xf>
    <xf numFmtId="1" fontId="20" fillId="0" borderId="14" xfId="0" applyNumberFormat="1" applyFont="1" applyBorder="1" applyAlignment="1">
      <alignment horizontal="center" vertical="center"/>
    </xf>
    <xf numFmtId="16" fontId="20" fillId="2" borderId="47" xfId="0" quotePrefix="1" applyNumberFormat="1" applyFont="1" applyFill="1" applyBorder="1" applyAlignment="1">
      <alignment horizontal="center" vertical="center"/>
    </xf>
    <xf numFmtId="0" fontId="20" fillId="0" borderId="11" xfId="0" applyFont="1" applyBorder="1">
      <alignment vertical="center"/>
    </xf>
    <xf numFmtId="180" fontId="20" fillId="2" borderId="6" xfId="0" applyNumberFormat="1" applyFont="1" applyFill="1" applyBorder="1" applyAlignment="1">
      <alignment horizontal="center" vertical="center"/>
    </xf>
    <xf numFmtId="1" fontId="20" fillId="2" borderId="6" xfId="0" applyNumberFormat="1" applyFont="1" applyFill="1" applyBorder="1" applyAlignment="1">
      <alignment horizontal="center" vertical="center"/>
    </xf>
    <xf numFmtId="0" fontId="20" fillId="2" borderId="55" xfId="0" applyFont="1" applyFill="1" applyBorder="1" applyAlignment="1">
      <alignment horizontal="center" vertical="center"/>
    </xf>
    <xf numFmtId="0" fontId="20" fillId="0" borderId="59" xfId="0" applyFont="1" applyBorder="1" applyAlignment="1">
      <alignment horizontal="center" vertical="center"/>
    </xf>
    <xf numFmtId="208" fontId="20" fillId="2" borderId="6" xfId="0" applyNumberFormat="1" applyFont="1" applyFill="1" applyBorder="1" applyAlignment="1">
      <alignment horizontal="center" vertical="center"/>
    </xf>
    <xf numFmtId="0" fontId="20" fillId="0" borderId="60" xfId="0" applyFont="1" applyBorder="1" applyAlignment="1">
      <alignment horizontal="center" vertical="center"/>
    </xf>
    <xf numFmtId="209" fontId="20" fillId="0" borderId="4" xfId="0" applyNumberFormat="1" applyFont="1" applyBorder="1" applyAlignment="1">
      <alignment horizontal="center" vertical="center"/>
    </xf>
    <xf numFmtId="184" fontId="20" fillId="0" borderId="4" xfId="0" applyNumberFormat="1" applyFont="1" applyBorder="1" applyAlignment="1">
      <alignment horizontal="center" vertical="center"/>
    </xf>
    <xf numFmtId="201" fontId="20" fillId="0" borderId="41" xfId="0" applyNumberFormat="1" applyFont="1" applyBorder="1" applyAlignment="1">
      <alignment horizontal="center" vertical="center"/>
    </xf>
    <xf numFmtId="1" fontId="20" fillId="2" borderId="4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81" fontId="7" fillId="2" borderId="0" xfId="0" applyNumberFormat="1" applyFont="1" applyFill="1" applyAlignment="1">
      <alignment horizontal="center" vertical="center"/>
    </xf>
    <xf numFmtId="183" fontId="7" fillId="2" borderId="0" xfId="0" applyNumberFormat="1" applyFont="1" applyFill="1" applyAlignment="1">
      <alignment horizontal="center" vertical="center"/>
    </xf>
    <xf numFmtId="178" fontId="7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179" fontId="20" fillId="2" borderId="0" xfId="0" applyNumberFormat="1" applyFont="1" applyFill="1" applyAlignment="1">
      <alignment horizontal="center" vertical="center"/>
    </xf>
    <xf numFmtId="181" fontId="20" fillId="2" borderId="0" xfId="0" applyNumberFormat="1" applyFont="1" applyFill="1" applyAlignment="1">
      <alignment horizontal="center" vertical="center"/>
    </xf>
    <xf numFmtId="183" fontId="20" fillId="2" borderId="0" xfId="0" applyNumberFormat="1" applyFont="1" applyFill="1" applyAlignment="1">
      <alignment horizontal="center" vertical="center"/>
    </xf>
    <xf numFmtId="178" fontId="20" fillId="2" borderId="0" xfId="0" applyNumberFormat="1" applyFont="1" applyFill="1" applyAlignment="1">
      <alignment horizontal="center" vertical="center"/>
    </xf>
    <xf numFmtId="0" fontId="20" fillId="2" borderId="0" xfId="0" applyFont="1" applyFill="1">
      <alignment vertical="center"/>
    </xf>
    <xf numFmtId="182" fontId="20" fillId="0" borderId="0" xfId="0" applyNumberFormat="1" applyFont="1" applyAlignment="1">
      <alignment horizontal="center" vertical="center"/>
    </xf>
    <xf numFmtId="183" fontId="20" fillId="0" borderId="0" xfId="0" applyNumberFormat="1" applyFont="1" applyAlignment="1">
      <alignment horizontal="center" vertical="center"/>
    </xf>
    <xf numFmtId="188" fontId="20" fillId="0" borderId="0" xfId="0" applyNumberFormat="1" applyFont="1" applyAlignment="1">
      <alignment horizontal="center" vertical="center"/>
    </xf>
    <xf numFmtId="190" fontId="20" fillId="0" borderId="0" xfId="0" applyNumberFormat="1" applyFont="1">
      <alignment vertical="center"/>
    </xf>
    <xf numFmtId="178" fontId="20" fillId="0" borderId="0" xfId="0" applyNumberFormat="1" applyFont="1" applyAlignment="1">
      <alignment horizontal="center" vertical="center"/>
    </xf>
    <xf numFmtId="193" fontId="20" fillId="0" borderId="0" xfId="0" applyNumberFormat="1" applyFont="1" applyAlignment="1">
      <alignment horizontal="center" vertical="center"/>
    </xf>
    <xf numFmtId="0" fontId="20" fillId="2" borderId="47" xfId="0" quotePrefix="1" applyFont="1" applyFill="1" applyBorder="1" applyAlignment="1">
      <alignment horizontal="center" vertical="center"/>
    </xf>
    <xf numFmtId="0" fontId="20" fillId="2" borderId="45" xfId="0" quotePrefix="1" applyFont="1" applyFill="1" applyBorder="1" applyAlignment="1">
      <alignment horizontal="center" vertical="center"/>
    </xf>
    <xf numFmtId="49" fontId="20" fillId="2" borderId="38" xfId="0" quotePrefix="1" applyNumberFormat="1" applyFont="1" applyFill="1" applyBorder="1" applyAlignment="1">
      <alignment horizontal="center" vertical="center"/>
    </xf>
    <xf numFmtId="177" fontId="20" fillId="0" borderId="4" xfId="0" applyNumberFormat="1" applyFont="1" applyBorder="1" applyAlignment="1">
      <alignment horizontal="center" vertical="center"/>
    </xf>
    <xf numFmtId="177" fontId="20" fillId="0" borderId="34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203" fontId="20" fillId="0" borderId="4" xfId="0" applyNumberFormat="1" applyFont="1" applyBorder="1" applyAlignment="1">
      <alignment horizontal="center" vertical="center"/>
    </xf>
    <xf numFmtId="177" fontId="22" fillId="0" borderId="5" xfId="0" applyNumberFormat="1" applyFont="1" applyBorder="1" applyAlignment="1">
      <alignment horizontal="center" vertical="center"/>
    </xf>
    <xf numFmtId="177" fontId="22" fillId="0" borderId="23" xfId="0" applyNumberFormat="1" applyFont="1" applyBorder="1" applyAlignment="1">
      <alignment horizontal="center" vertical="center"/>
    </xf>
    <xf numFmtId="177" fontId="22" fillId="0" borderId="29" xfId="0" applyNumberFormat="1" applyFont="1" applyBorder="1" applyAlignment="1">
      <alignment horizontal="center" vertical="center"/>
    </xf>
    <xf numFmtId="177" fontId="22" fillId="0" borderId="30" xfId="0" applyNumberFormat="1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180" fontId="20" fillId="0" borderId="5" xfId="0" applyNumberFormat="1" applyFont="1" applyBorder="1" applyAlignment="1">
      <alignment horizontal="center" vertical="center"/>
    </xf>
    <xf numFmtId="180" fontId="20" fillId="0" borderId="6" xfId="0" applyNumberFormat="1" applyFont="1" applyBorder="1" applyAlignment="1">
      <alignment horizontal="center" vertical="center"/>
    </xf>
    <xf numFmtId="180" fontId="20" fillId="0" borderId="7" xfId="0" applyNumberFormat="1" applyFont="1" applyBorder="1" applyAlignment="1">
      <alignment horizontal="center" vertical="center"/>
    </xf>
    <xf numFmtId="180" fontId="20" fillId="0" borderId="29" xfId="0" applyNumberFormat="1" applyFont="1" applyBorder="1" applyAlignment="1">
      <alignment horizontal="center" vertical="center"/>
    </xf>
    <xf numFmtId="180" fontId="20" fillId="0" borderId="27" xfId="0" applyNumberFormat="1" applyFont="1" applyBorder="1" applyAlignment="1">
      <alignment horizontal="center" vertical="center"/>
    </xf>
    <xf numFmtId="180" fontId="20" fillId="0" borderId="28" xfId="0" applyNumberFormat="1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18" fillId="0" borderId="0" xfId="1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1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center" vertical="top"/>
    </xf>
    <xf numFmtId="0" fontId="5" fillId="0" borderId="19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21" xfId="0" applyFont="1" applyBorder="1" applyAlignment="1">
      <alignment horizontal="center" vertical="top"/>
    </xf>
    <xf numFmtId="0" fontId="16" fillId="0" borderId="5" xfId="0" applyFont="1" applyBorder="1" applyAlignment="1">
      <alignment horizontal="center" vertical="top" wrapText="1"/>
    </xf>
    <xf numFmtId="0" fontId="16" fillId="0" borderId="7" xfId="0" applyFont="1" applyBorder="1" applyAlignment="1">
      <alignment horizontal="center" vertical="top"/>
    </xf>
    <xf numFmtId="0" fontId="16" fillId="0" borderId="9" xfId="0" applyFont="1" applyBorder="1" applyAlignment="1">
      <alignment horizontal="center" vertical="top"/>
    </xf>
    <xf numFmtId="0" fontId="16" fillId="0" borderId="3" xfId="0" applyFont="1" applyBorder="1" applyAlignment="1">
      <alignment horizontal="center" vertical="top"/>
    </xf>
    <xf numFmtId="0" fontId="16" fillId="0" borderId="5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top"/>
    </xf>
    <xf numFmtId="0" fontId="20" fillId="0" borderId="11" xfId="0" applyFont="1" applyBorder="1" applyAlignment="1">
      <alignment horizontal="center" vertical="top"/>
    </xf>
    <xf numFmtId="0" fontId="20" fillId="0" borderId="12" xfId="0" applyFont="1" applyBorder="1" applyAlignment="1">
      <alignment horizontal="center" vertical="top"/>
    </xf>
    <xf numFmtId="0" fontId="20" fillId="0" borderId="35" xfId="0" applyFont="1" applyBorder="1" applyAlignment="1">
      <alignment horizontal="center" vertical="top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3" fillId="0" borderId="44" xfId="0" applyFont="1" applyBorder="1" applyAlignment="1">
      <alignment horizontal="center" vertical="center" wrapText="1"/>
    </xf>
    <xf numFmtId="0" fontId="43" fillId="0" borderId="45" xfId="0" applyFont="1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0" fontId="7" fillId="0" borderId="48" xfId="1" applyFont="1" applyBorder="1" applyAlignment="1">
      <alignment horizontal="center" vertical="center" wrapText="1"/>
    </xf>
    <xf numFmtId="0" fontId="36" fillId="0" borderId="36" xfId="1" applyFont="1" applyBorder="1" applyAlignment="1">
      <alignment horizontal="left" vertical="center"/>
    </xf>
    <xf numFmtId="0" fontId="36" fillId="0" borderId="37" xfId="1" applyFont="1" applyBorder="1" applyAlignment="1">
      <alignment horizontal="left" vertical="center"/>
    </xf>
    <xf numFmtId="0" fontId="5" fillId="0" borderId="50" xfId="1" applyFont="1" applyBorder="1" applyAlignment="1">
      <alignment horizontal="left" vertical="center" wrapText="1"/>
    </xf>
    <xf numFmtId="0" fontId="5" fillId="0" borderId="51" xfId="1" applyFont="1" applyBorder="1" applyAlignment="1">
      <alignment horizontal="left" vertical="center" wrapText="1"/>
    </xf>
    <xf numFmtId="0" fontId="5" fillId="0" borderId="20" xfId="1" applyFont="1" applyBorder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5" fillId="0" borderId="26" xfId="1" applyFont="1" applyBorder="1" applyAlignment="1">
      <alignment horizontal="left" vertical="center" wrapText="1"/>
    </xf>
    <xf numFmtId="0" fontId="5" fillId="0" borderId="27" xfId="1" applyFont="1" applyBorder="1" applyAlignment="1">
      <alignment horizontal="left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0" fillId="2" borderId="55" xfId="0" applyFont="1" applyFill="1" applyBorder="1" applyAlignment="1">
      <alignment horizontal="center" vertical="center"/>
    </xf>
    <xf numFmtId="0" fontId="20" fillId="2" borderId="61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top" wrapText="1"/>
    </xf>
    <xf numFmtId="0" fontId="20" fillId="0" borderId="4" xfId="0" applyFont="1" applyBorder="1" applyAlignment="1">
      <alignment horizontal="center" vertical="top"/>
    </xf>
    <xf numFmtId="0" fontId="20" fillId="0" borderId="34" xfId="0" applyFont="1" applyBorder="1" applyAlignment="1">
      <alignment horizontal="center" vertical="top"/>
    </xf>
    <xf numFmtId="0" fontId="16" fillId="0" borderId="4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21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1" fontId="20" fillId="0" borderId="39" xfId="0" applyNumberFormat="1" applyFont="1" applyBorder="1" applyAlignment="1">
      <alignment horizontal="center" vertical="center" wrapText="1"/>
    </xf>
    <xf numFmtId="1" fontId="20" fillId="0" borderId="40" xfId="0" applyNumberFormat="1" applyFont="1" applyBorder="1" applyAlignment="1">
      <alignment horizontal="center" vertical="center" wrapText="1"/>
    </xf>
    <xf numFmtId="0" fontId="7" fillId="0" borderId="20" xfId="0" applyFont="1" applyBorder="1">
      <alignment vertical="center"/>
    </xf>
    <xf numFmtId="0" fontId="7" fillId="0" borderId="0" xfId="0" applyFont="1">
      <alignment vertical="center"/>
    </xf>
    <xf numFmtId="0" fontId="20" fillId="0" borderId="45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5" fillId="0" borderId="52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28" xfId="1" applyFont="1" applyBorder="1" applyAlignment="1">
      <alignment horizontal="left" vertical="center" wrapText="1"/>
    </xf>
    <xf numFmtId="0" fontId="7" fillId="0" borderId="13" xfId="1" applyFont="1" applyBorder="1" applyAlignment="1">
      <alignment horizontal="center" vertical="center"/>
    </xf>
    <xf numFmtId="0" fontId="7" fillId="0" borderId="40" xfId="1" applyFont="1" applyBorder="1" applyAlignment="1">
      <alignment horizontal="center" vertical="center"/>
    </xf>
    <xf numFmtId="0" fontId="7" fillId="0" borderId="41" xfId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6" fillId="0" borderId="49" xfId="1" applyFont="1" applyBorder="1" applyAlignment="1">
      <alignment horizontal="left" vertical="center"/>
    </xf>
    <xf numFmtId="0" fontId="29" fillId="0" borderId="0" xfId="1" applyFont="1" applyAlignment="1">
      <alignment horizontal="left" vertical="center"/>
    </xf>
    <xf numFmtId="0" fontId="46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5" fontId="20" fillId="0" borderId="58" xfId="0" applyNumberFormat="1" applyFont="1" applyBorder="1" applyAlignment="1">
      <alignment horizontal="center" vertical="center"/>
    </xf>
    <xf numFmtId="185" fontId="20" fillId="0" borderId="14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05" fontId="20" fillId="0" borderId="40" xfId="0" applyNumberFormat="1" applyFont="1" applyBorder="1" applyAlignment="1">
      <alignment horizontal="center" vertical="center"/>
    </xf>
    <xf numFmtId="205" fontId="20" fillId="0" borderId="41" xfId="0" applyNumberFormat="1" applyFont="1" applyBorder="1" applyAlignment="1">
      <alignment horizontal="center" vertical="center"/>
    </xf>
    <xf numFmtId="178" fontId="20" fillId="0" borderId="43" xfId="0" applyNumberFormat="1" applyFont="1" applyBorder="1" applyAlignment="1">
      <alignment horizontal="center" vertical="center"/>
    </xf>
    <xf numFmtId="178" fontId="20" fillId="0" borderId="42" xfId="0" applyNumberFormat="1" applyFont="1" applyBorder="1" applyAlignment="1">
      <alignment horizontal="center" vertical="center"/>
    </xf>
    <xf numFmtId="0" fontId="20" fillId="2" borderId="57" xfId="0" applyFont="1" applyFill="1" applyBorder="1" applyAlignment="1">
      <alignment horizontal="center" vertical="center"/>
    </xf>
    <xf numFmtId="186" fontId="20" fillId="0" borderId="58" xfId="0" applyNumberFormat="1" applyFont="1" applyBorder="1" applyAlignment="1">
      <alignment horizontal="center" vertical="center"/>
    </xf>
    <xf numFmtId="186" fontId="20" fillId="0" borderId="14" xfId="0" applyNumberFormat="1" applyFont="1" applyBorder="1" applyAlignment="1">
      <alignment horizontal="center" vertical="center"/>
    </xf>
    <xf numFmtId="210" fontId="20" fillId="0" borderId="40" xfId="0" applyNumberFormat="1" applyFont="1" applyBorder="1" applyAlignment="1">
      <alignment horizontal="center" vertical="center"/>
    </xf>
    <xf numFmtId="210" fontId="20" fillId="0" borderId="41" xfId="0" applyNumberFormat="1" applyFont="1" applyBorder="1" applyAlignment="1">
      <alignment horizontal="center" vertical="center"/>
    </xf>
  </cellXfs>
  <cellStyles count="6">
    <cellStyle name="Normal 2" xfId="3" xr:uid="{00000000-0005-0000-0000-000002000000}"/>
    <cellStyle name="桁区切り [0.00]" xfId="4" builtinId="3"/>
    <cellStyle name="桁区切り 2" xfId="2" xr:uid="{00000000-0005-0000-0000-000003000000}"/>
    <cellStyle name="標準" xfId="0" builtinId="0"/>
    <cellStyle name="標準 2" xfId="1" xr:uid="{00000000-0005-0000-0000-000004000000}"/>
    <cellStyle name="標準 7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ropbox\Dropbox\Nga\xuat%20cty%20me\N&#259;m%202022\016.Mask.8.9-air\INVP%20MASUDA%20VN-JP%20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"/>
      <sheetName val="PACKING LIST"/>
      <sheetName val="IV tong"/>
      <sheetName val="HS code"/>
      <sheetName val="PL tong"/>
      <sheetName val="Yeu cau thanh toan"/>
      <sheetName val="データ"/>
      <sheetName val="dia chỉ"/>
      <sheetName val="Sheet2"/>
      <sheetName val="Sheet1"/>
    </sheetNames>
    <sheetDataSet>
      <sheetData sheetId="0"/>
      <sheetData sheetId="1">
        <row r="35">
          <cell r="B35" t="str">
            <v>Mask C01037 White</v>
          </cell>
          <cell r="C35" t="str">
            <v>SEQ 4-93909</v>
          </cell>
          <cell r="D35" t="str">
            <v>bag</v>
          </cell>
          <cell r="E35">
            <v>3920</v>
          </cell>
        </row>
        <row r="36">
          <cell r="B36" t="str">
            <v>Mask C01037 White</v>
          </cell>
          <cell r="C36" t="str">
            <v>SEQ 4-117750</v>
          </cell>
          <cell r="D36" t="str">
            <v>bag</v>
          </cell>
          <cell r="E36">
            <v>2520</v>
          </cell>
        </row>
        <row r="37">
          <cell r="B37" t="str">
            <v>Mask C01037 Light gray</v>
          </cell>
          <cell r="C37" t="str">
            <v>SEQ 4-93911</v>
          </cell>
          <cell r="D37" t="str">
            <v>bag</v>
          </cell>
          <cell r="E37">
            <v>4000</v>
          </cell>
        </row>
        <row r="38">
          <cell r="B38" t="str">
            <v>Mask C01037 Beige</v>
          </cell>
          <cell r="C38" t="str">
            <v>SEQ 4-93916</v>
          </cell>
          <cell r="D38" t="str">
            <v>bag</v>
          </cell>
          <cell r="E38">
            <v>5000</v>
          </cell>
        </row>
        <row r="39">
          <cell r="B39" t="str">
            <v>Mask C01037 Pink</v>
          </cell>
          <cell r="C39" t="str">
            <v>SEQ 4-93918</v>
          </cell>
          <cell r="D39" t="str">
            <v>bag</v>
          </cell>
          <cell r="E39">
            <v>5000</v>
          </cell>
        </row>
        <row r="40">
          <cell r="B40" t="str">
            <v>Mask C01037 Lilac</v>
          </cell>
          <cell r="C40" t="str">
            <v>SEQ 4-93920</v>
          </cell>
          <cell r="D40" t="str">
            <v>bag</v>
          </cell>
          <cell r="E40">
            <v>2000</v>
          </cell>
        </row>
        <row r="41">
          <cell r="B41" t="str">
            <v>Mask C01072 Stylist</v>
          </cell>
          <cell r="C41" t="str">
            <v>SEQ 4-93927</v>
          </cell>
          <cell r="D41" t="str">
            <v>bag</v>
          </cell>
          <cell r="E41">
            <v>4000</v>
          </cell>
        </row>
        <row r="42">
          <cell r="B42" t="str">
            <v>Mask C01074 Sweet</v>
          </cell>
          <cell r="C42" t="str">
            <v>SEQ 4-9329</v>
          </cell>
          <cell r="D42" t="str">
            <v>bag</v>
          </cell>
          <cell r="E42">
            <v>3320</v>
          </cell>
        </row>
        <row r="43">
          <cell r="B43" t="str">
            <v>Mask C01074 Sweet</v>
          </cell>
          <cell r="C43" t="str">
            <v>SEQ 4-117756</v>
          </cell>
          <cell r="D43" t="str">
            <v>bag</v>
          </cell>
          <cell r="E43">
            <v>4680</v>
          </cell>
        </row>
        <row r="44">
          <cell r="B44"/>
          <cell r="C44"/>
          <cell r="D44"/>
          <cell r="E44">
            <v>34440</v>
          </cell>
        </row>
        <row r="45">
          <cell r="B45"/>
          <cell r="C45"/>
          <cell r="D45"/>
          <cell r="E45"/>
        </row>
        <row r="46">
          <cell r="B46"/>
          <cell r="C46"/>
          <cell r="D46"/>
          <cell r="E46"/>
        </row>
        <row r="47">
          <cell r="B47"/>
          <cell r="C47"/>
          <cell r="D47"/>
          <cell r="E47"/>
        </row>
        <row r="48">
          <cell r="B48"/>
          <cell r="C48"/>
          <cell r="D48">
            <v>34440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view="pageBreakPreview" zoomScale="85" zoomScaleNormal="130" zoomScaleSheetLayoutView="85" workbookViewId="0">
      <selection sqref="A1:K4"/>
    </sheetView>
  </sheetViews>
  <sheetFormatPr defaultRowHeight="13.5"/>
  <cols>
    <col min="1" max="1" width="9.375" customWidth="1"/>
    <col min="3" max="3" width="32.75" customWidth="1"/>
    <col min="4" max="4" width="12.5" customWidth="1"/>
    <col min="5" max="5" width="7.125" customWidth="1"/>
    <col min="6" max="6" width="8.25" customWidth="1"/>
    <col min="7" max="7" width="5.875" customWidth="1"/>
    <col min="8" max="8" width="5.375" customWidth="1"/>
    <col min="9" max="9" width="5.75" customWidth="1"/>
    <col min="10" max="10" width="21.25" customWidth="1"/>
    <col min="11" max="11" width="2.5" hidden="1" customWidth="1"/>
  </cols>
  <sheetData>
    <row r="1" spans="1:11" ht="8.25" customHeight="1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</row>
    <row r="2" spans="1:11" ht="7.5" customHeight="1">
      <c r="A2" s="176"/>
      <c r="B2" s="176"/>
      <c r="C2" s="176"/>
      <c r="D2" s="176"/>
      <c r="E2" s="176"/>
      <c r="F2" s="176"/>
      <c r="G2" s="176"/>
      <c r="H2" s="176"/>
      <c r="I2" s="176"/>
      <c r="J2" s="176"/>
      <c r="K2" s="176"/>
    </row>
    <row r="3" spans="1:11" ht="13.5" customHeight="1">
      <c r="A3" s="176"/>
      <c r="B3" s="176"/>
      <c r="C3" s="176"/>
      <c r="D3" s="176"/>
      <c r="E3" s="176"/>
      <c r="F3" s="176"/>
      <c r="G3" s="176"/>
      <c r="H3" s="176"/>
      <c r="I3" s="176"/>
      <c r="J3" s="176"/>
      <c r="K3" s="176"/>
    </row>
    <row r="4" spans="1:11" ht="4.5" customHeight="1">
      <c r="A4" s="176"/>
      <c r="B4" s="176"/>
      <c r="C4" s="176"/>
      <c r="D4" s="176"/>
      <c r="E4" s="176"/>
      <c r="F4" s="176"/>
      <c r="G4" s="176"/>
      <c r="H4" s="176"/>
      <c r="I4" s="176"/>
      <c r="J4" s="176"/>
      <c r="K4" s="176"/>
    </row>
    <row r="5" spans="1:11">
      <c r="G5" s="224" t="s">
        <v>207</v>
      </c>
      <c r="H5" s="225"/>
      <c r="I5" s="225"/>
      <c r="J5" s="225"/>
      <c r="K5" s="225"/>
    </row>
    <row r="6" spans="1:11" ht="9.1999999999999993" customHeight="1"/>
    <row r="7" spans="1:11" ht="10.5" customHeight="1" thickBot="1"/>
    <row r="8" spans="1:11" ht="15">
      <c r="A8" s="23" t="s">
        <v>1</v>
      </c>
      <c r="B8" s="24"/>
      <c r="C8" s="24"/>
      <c r="D8" s="24"/>
      <c r="E8" s="11"/>
      <c r="F8" s="12"/>
      <c r="G8" s="184" t="s">
        <v>208</v>
      </c>
      <c r="H8" s="185"/>
      <c r="I8" s="185"/>
      <c r="J8" s="186"/>
    </row>
    <row r="9" spans="1:11" ht="5.45" customHeight="1">
      <c r="A9" s="13"/>
      <c r="F9" s="6"/>
      <c r="G9" s="187"/>
      <c r="H9" s="188"/>
      <c r="I9" s="188"/>
      <c r="J9" s="189"/>
    </row>
    <row r="10" spans="1:11" ht="13.5" customHeight="1">
      <c r="A10" s="75" t="s">
        <v>2</v>
      </c>
      <c r="B10" s="2"/>
      <c r="C10" s="2"/>
      <c r="D10" s="2"/>
      <c r="E10" s="2"/>
      <c r="F10" s="10"/>
      <c r="G10" s="187"/>
      <c r="H10" s="188"/>
      <c r="I10" s="188"/>
      <c r="J10" s="189"/>
    </row>
    <row r="11" spans="1:11" ht="13.5" customHeight="1">
      <c r="A11" s="73" t="s">
        <v>128</v>
      </c>
      <c r="B11" s="1"/>
      <c r="C11" s="1"/>
      <c r="D11" s="1"/>
      <c r="E11" s="1"/>
      <c r="F11" s="74"/>
      <c r="G11" s="190" t="s">
        <v>4</v>
      </c>
      <c r="H11" s="191"/>
      <c r="I11" s="194" t="s">
        <v>5</v>
      </c>
      <c r="J11" s="179"/>
    </row>
    <row r="12" spans="1:11" ht="15">
      <c r="A12" s="73" t="s">
        <v>200</v>
      </c>
      <c r="B12" s="1"/>
      <c r="C12" s="1"/>
      <c r="D12" s="1"/>
      <c r="E12" s="1"/>
      <c r="F12" s="74"/>
      <c r="G12" s="192"/>
      <c r="H12" s="193"/>
      <c r="I12" s="195"/>
      <c r="J12" s="196"/>
    </row>
    <row r="13" spans="1:11" ht="15">
      <c r="A13" s="73" t="s">
        <v>6</v>
      </c>
      <c r="B13" s="1"/>
      <c r="C13" s="1"/>
      <c r="D13" s="1"/>
      <c r="E13" s="201"/>
      <c r="F13" s="202"/>
      <c r="G13" s="197" t="s">
        <v>7</v>
      </c>
      <c r="H13" s="198"/>
      <c r="I13" s="199" t="s">
        <v>8</v>
      </c>
      <c r="J13" s="200"/>
    </row>
    <row r="14" spans="1:11" ht="15">
      <c r="A14" s="73" t="s">
        <v>9</v>
      </c>
      <c r="B14" s="1"/>
      <c r="E14" s="203"/>
      <c r="F14" s="204"/>
      <c r="G14" s="177" t="s">
        <v>10</v>
      </c>
      <c r="H14" s="178"/>
      <c r="I14" s="178"/>
      <c r="J14" s="179"/>
    </row>
    <row r="15" spans="1:11" ht="13.5" customHeight="1">
      <c r="A15" s="15"/>
      <c r="B15" s="7"/>
      <c r="C15" s="7"/>
      <c r="D15" s="7"/>
      <c r="E15" s="76"/>
      <c r="F15" s="8"/>
      <c r="G15" s="207" t="s">
        <v>11</v>
      </c>
      <c r="H15" s="208"/>
      <c r="I15" s="208"/>
      <c r="J15" s="209"/>
    </row>
    <row r="16" spans="1:11" ht="15">
      <c r="A16" s="28" t="s">
        <v>12</v>
      </c>
      <c r="B16" s="29"/>
      <c r="C16" s="29"/>
      <c r="D16" s="29"/>
      <c r="E16" s="3"/>
      <c r="F16" s="4"/>
      <c r="G16" s="182"/>
      <c r="H16" s="210"/>
      <c r="I16" s="210"/>
      <c r="J16" s="211"/>
    </row>
    <row r="17" spans="1:10" ht="13.5" hidden="1" customHeight="1">
      <c r="A17" s="16"/>
      <c r="B17" s="89"/>
      <c r="F17" s="6"/>
      <c r="G17" s="182"/>
      <c r="H17" s="210"/>
      <c r="I17" s="210"/>
      <c r="J17" s="211"/>
    </row>
    <row r="18" spans="1:10" ht="6" customHeight="1">
      <c r="A18" s="16"/>
      <c r="B18" s="89"/>
      <c r="F18" s="6"/>
      <c r="G18" s="182"/>
      <c r="H18" s="210"/>
      <c r="I18" s="210"/>
      <c r="J18" s="211"/>
    </row>
    <row r="19" spans="1:10" ht="18.75">
      <c r="A19" s="75" t="s">
        <v>13</v>
      </c>
      <c r="B19" s="1"/>
      <c r="C19" s="1"/>
      <c r="D19" s="1"/>
      <c r="F19" s="6"/>
      <c r="G19" s="212"/>
      <c r="H19" s="213"/>
      <c r="I19" s="213"/>
      <c r="J19" s="214"/>
    </row>
    <row r="20" spans="1:10" ht="15">
      <c r="A20" s="73" t="s">
        <v>14</v>
      </c>
      <c r="B20" s="1"/>
      <c r="C20" s="1"/>
      <c r="D20" s="1"/>
      <c r="F20" s="6"/>
      <c r="G20" s="5" t="s">
        <v>15</v>
      </c>
      <c r="I20" s="37"/>
      <c r="J20" s="14"/>
    </row>
    <row r="21" spans="1:10" ht="15">
      <c r="A21" s="73" t="s">
        <v>16</v>
      </c>
      <c r="B21" s="1"/>
      <c r="C21" s="1"/>
      <c r="D21" s="1"/>
      <c r="F21" s="6"/>
      <c r="G21" s="5"/>
      <c r="J21" s="14"/>
    </row>
    <row r="22" spans="1:10" ht="15" customHeight="1">
      <c r="A22" s="215" t="s">
        <v>17</v>
      </c>
      <c r="B22" s="216"/>
      <c r="C22" s="216"/>
      <c r="D22" s="96"/>
      <c r="E22" s="205"/>
      <c r="F22" s="206"/>
      <c r="G22" s="82" t="s">
        <v>18</v>
      </c>
      <c r="H22" t="s">
        <v>19</v>
      </c>
      <c r="J22" s="14"/>
    </row>
    <row r="23" spans="1:10" ht="15" customHeight="1">
      <c r="A23" s="215" t="s">
        <v>20</v>
      </c>
      <c r="B23" s="216"/>
      <c r="C23" s="216"/>
      <c r="D23" s="96"/>
      <c r="E23" s="205"/>
      <c r="F23" s="206"/>
      <c r="G23" s="81"/>
      <c r="H23" t="s">
        <v>21</v>
      </c>
      <c r="I23" s="6"/>
      <c r="J23" s="14"/>
    </row>
    <row r="24" spans="1:10" ht="4.5" customHeight="1">
      <c r="A24" s="35"/>
      <c r="B24" s="36"/>
      <c r="C24" s="226"/>
      <c r="D24" s="226"/>
      <c r="E24" s="226"/>
      <c r="F24" s="8"/>
      <c r="J24" s="14"/>
    </row>
    <row r="25" spans="1:10" ht="18.75">
      <c r="A25" s="229" t="s">
        <v>22</v>
      </c>
      <c r="B25" s="230"/>
      <c r="C25" s="230"/>
      <c r="D25" s="230"/>
      <c r="E25" s="230"/>
      <c r="F25" s="227" t="s">
        <v>58</v>
      </c>
      <c r="G25" s="81"/>
      <c r="H25" t="s">
        <v>23</v>
      </c>
      <c r="J25" s="14"/>
    </row>
    <row r="26" spans="1:10" ht="11.25" customHeight="1">
      <c r="A26" s="231"/>
      <c r="B26" s="232"/>
      <c r="C26" s="232"/>
      <c r="D26" s="232"/>
      <c r="E26" s="232"/>
      <c r="F26" s="227"/>
      <c r="G26" s="81"/>
      <c r="H26" s="102" t="s">
        <v>123</v>
      </c>
      <c r="J26" s="14"/>
    </row>
    <row r="27" spans="1:10" ht="13.5" customHeight="1">
      <c r="A27" s="233"/>
      <c r="B27" s="234"/>
      <c r="C27" s="234"/>
      <c r="D27" s="234"/>
      <c r="E27" s="234"/>
      <c r="F27" s="227"/>
      <c r="G27" s="81"/>
      <c r="H27" t="s">
        <v>25</v>
      </c>
      <c r="J27" s="14"/>
    </row>
    <row r="28" spans="1:10" ht="6" customHeight="1" thickBot="1">
      <c r="A28" s="235"/>
      <c r="B28" s="236"/>
      <c r="C28" s="236"/>
      <c r="D28" s="236"/>
      <c r="E28" s="236"/>
      <c r="F28" s="228"/>
      <c r="G28" s="17"/>
      <c r="H28" s="17"/>
      <c r="I28" s="17"/>
      <c r="J28" s="18"/>
    </row>
    <row r="29" spans="1:10" ht="14.25" thickBot="1">
      <c r="A29" s="13"/>
      <c r="J29" s="14"/>
    </row>
    <row r="30" spans="1:10" ht="13.5" customHeight="1">
      <c r="A30" s="217" t="s">
        <v>26</v>
      </c>
      <c r="B30" s="237" t="s">
        <v>27</v>
      </c>
      <c r="C30" s="181"/>
      <c r="D30" s="238" t="s">
        <v>122</v>
      </c>
      <c r="E30" s="170" t="s">
        <v>28</v>
      </c>
      <c r="F30" s="220" t="s">
        <v>29</v>
      </c>
      <c r="G30" s="180" t="s">
        <v>30</v>
      </c>
      <c r="H30" s="181"/>
      <c r="I30" s="220" t="s">
        <v>31</v>
      </c>
      <c r="J30" s="221"/>
    </row>
    <row r="31" spans="1:10">
      <c r="A31" s="218"/>
      <c r="B31" s="210"/>
      <c r="C31" s="183"/>
      <c r="D31" s="239"/>
      <c r="E31" s="154"/>
      <c r="F31" s="222"/>
      <c r="G31" s="182"/>
      <c r="H31" s="183"/>
      <c r="I31" s="222"/>
      <c r="J31" s="223"/>
    </row>
    <row r="32" spans="1:10" ht="27.75" customHeight="1">
      <c r="A32" s="219"/>
      <c r="B32" s="210"/>
      <c r="C32" s="183"/>
      <c r="D32" s="239"/>
      <c r="E32" s="154"/>
      <c r="F32" s="222"/>
      <c r="G32" s="182"/>
      <c r="H32" s="183"/>
      <c r="I32" s="222"/>
      <c r="J32" s="223"/>
    </row>
    <row r="33" spans="1:10" ht="19.7" customHeight="1">
      <c r="A33" s="150" t="s">
        <v>209</v>
      </c>
      <c r="B33" s="153" t="s">
        <v>164</v>
      </c>
      <c r="C33" s="154"/>
      <c r="D33" s="107"/>
      <c r="E33" s="90" t="str">
        <f>VLOOKUP(B33,データ!$B$3:$L$85,11,FALSE)</f>
        <v>m</v>
      </c>
      <c r="F33" s="126">
        <v>4000</v>
      </c>
      <c r="G33" s="155">
        <f>VLOOKUP(B33,データ!$B$3:$C$85,2,FALSE)</f>
        <v>0.61</v>
      </c>
      <c r="H33" s="155"/>
      <c r="I33" s="151">
        <f>IFERROR(G33*F33, "")</f>
        <v>2440</v>
      </c>
      <c r="J33" s="152"/>
    </row>
    <row r="34" spans="1:10" ht="19.7" customHeight="1">
      <c r="A34" s="150" t="s">
        <v>210</v>
      </c>
      <c r="B34" s="153" t="s">
        <v>113</v>
      </c>
      <c r="C34" s="154"/>
      <c r="D34" s="107"/>
      <c r="E34" s="90" t="str">
        <f>VLOOKUP(B34,データ!$B$3:$L$85,11,FALSE)</f>
        <v>pcs</v>
      </c>
      <c r="F34" s="126">
        <v>11000</v>
      </c>
      <c r="G34" s="155">
        <f>VLOOKUP(B34,データ!$B$3:$C$85,2,FALSE)</f>
        <v>0.223</v>
      </c>
      <c r="H34" s="155"/>
      <c r="I34" s="151">
        <f t="shared" ref="I34:I45" si="0">IFERROR(G34*F34, "")</f>
        <v>2453</v>
      </c>
      <c r="J34" s="152"/>
    </row>
    <row r="35" spans="1:10" ht="19.7" customHeight="1">
      <c r="A35" s="150" t="s">
        <v>211</v>
      </c>
      <c r="B35" s="153" t="s">
        <v>184</v>
      </c>
      <c r="C35" s="154"/>
      <c r="D35" s="107"/>
      <c r="E35" s="90" t="str">
        <f>VLOOKUP(B35,データ!$B$3:$L$85,11,FALSE)</f>
        <v>pcs</v>
      </c>
      <c r="F35" s="122">
        <v>6000</v>
      </c>
      <c r="G35" s="155">
        <f>VLOOKUP(B35,データ!$B$3:$C$85,2,FALSE)</f>
        <v>0.21299999999999999</v>
      </c>
      <c r="H35" s="155"/>
      <c r="I35" s="151">
        <f t="shared" si="0"/>
        <v>1278</v>
      </c>
      <c r="J35" s="152"/>
    </row>
    <row r="36" spans="1:10" ht="19.7" customHeight="1">
      <c r="A36" s="148"/>
      <c r="B36" s="153" t="s">
        <v>185</v>
      </c>
      <c r="C36" s="154"/>
      <c r="D36" s="107"/>
      <c r="E36" s="90" t="str">
        <f>VLOOKUP(B36,データ!$B$3:$L$85,11,FALSE)</f>
        <v>pcs</v>
      </c>
      <c r="F36" s="122">
        <v>5000</v>
      </c>
      <c r="G36" s="155">
        <f>VLOOKUP(B36,データ!$B$3:$C$85,2,FALSE)</f>
        <v>0.223</v>
      </c>
      <c r="H36" s="155"/>
      <c r="I36" s="151">
        <f t="shared" si="0"/>
        <v>1115</v>
      </c>
      <c r="J36" s="152"/>
    </row>
    <row r="37" spans="1:10" ht="19.7" customHeight="1">
      <c r="A37" s="148"/>
      <c r="B37" s="153" t="s">
        <v>142</v>
      </c>
      <c r="C37" s="154"/>
      <c r="D37" s="121"/>
      <c r="E37" s="90" t="str">
        <f>VLOOKUP(B37,データ!$B$3:$L$85,11,FALSE)</f>
        <v>pcs</v>
      </c>
      <c r="F37" s="123">
        <v>11000</v>
      </c>
      <c r="G37" s="155">
        <f>VLOOKUP(B37,データ!$B$3:$C$85,2,FALSE)</f>
        <v>0.23499999999999999</v>
      </c>
      <c r="H37" s="155"/>
      <c r="I37" s="151">
        <f t="shared" si="0"/>
        <v>2585</v>
      </c>
      <c r="J37" s="152"/>
    </row>
    <row r="38" spans="1:10" ht="19.7" customHeight="1">
      <c r="A38" s="148"/>
      <c r="B38" s="153" t="s">
        <v>83</v>
      </c>
      <c r="C38" s="154"/>
      <c r="D38" s="107"/>
      <c r="E38" s="90" t="str">
        <f>VLOOKUP(B38,データ!$B$3:$L$85,11,FALSE)</f>
        <v>pcs</v>
      </c>
      <c r="F38" s="122">
        <v>5500</v>
      </c>
      <c r="G38" s="155">
        <f>VLOOKUP(B38,データ!$B$3:$C$85,2,FALSE)</f>
        <v>0.224</v>
      </c>
      <c r="H38" s="155"/>
      <c r="I38" s="151">
        <f t="shared" si="0"/>
        <v>1232</v>
      </c>
      <c r="J38" s="152"/>
    </row>
    <row r="39" spans="1:10" ht="19.7" customHeight="1">
      <c r="A39" s="148"/>
      <c r="B39" s="153" t="s">
        <v>183</v>
      </c>
      <c r="C39" s="154"/>
      <c r="D39" s="107"/>
      <c r="E39" s="90" t="str">
        <f>VLOOKUP(B39,データ!$B$3:$L$85,11,FALSE)</f>
        <v>pcs</v>
      </c>
      <c r="F39" s="122">
        <v>9000</v>
      </c>
      <c r="G39" s="155">
        <f>VLOOKUP(B39,データ!$B$3:$C$85,2,FALSE)</f>
        <v>0.251</v>
      </c>
      <c r="H39" s="155"/>
      <c r="I39" s="151">
        <f t="shared" si="0"/>
        <v>2259</v>
      </c>
      <c r="J39" s="152"/>
    </row>
    <row r="40" spans="1:10" ht="19.7" customHeight="1">
      <c r="A40" s="148"/>
      <c r="B40" s="153" t="s">
        <v>83</v>
      </c>
      <c r="C40" s="154"/>
      <c r="D40" s="107"/>
      <c r="E40" s="90" t="str">
        <f>VLOOKUP(B40,データ!$B$3:$L$85,11,FALSE)</f>
        <v>pcs</v>
      </c>
      <c r="F40" s="122">
        <v>5500</v>
      </c>
      <c r="G40" s="155">
        <f>VLOOKUP(B40,データ!$B$3:$C$85,2,FALSE)</f>
        <v>0.224</v>
      </c>
      <c r="H40" s="155"/>
      <c r="I40" s="151">
        <f t="shared" si="0"/>
        <v>1232</v>
      </c>
      <c r="J40" s="152"/>
    </row>
    <row r="41" spans="1:10" ht="19.7" customHeight="1">
      <c r="A41" s="148"/>
      <c r="B41" s="153" t="s">
        <v>83</v>
      </c>
      <c r="C41" s="154"/>
      <c r="D41" s="121"/>
      <c r="E41" s="90" t="str">
        <f>VLOOKUP(B41,データ!$B$3:$L$85,11,FALSE)</f>
        <v>pcs</v>
      </c>
      <c r="F41" s="122">
        <v>13500</v>
      </c>
      <c r="G41" s="155">
        <f>VLOOKUP(B41,データ!$B$3:$C$85,2,FALSE)</f>
        <v>0.224</v>
      </c>
      <c r="H41" s="155"/>
      <c r="I41" s="151">
        <f t="shared" si="0"/>
        <v>3024</v>
      </c>
      <c r="J41" s="152"/>
    </row>
    <row r="42" spans="1:10" ht="19.7" customHeight="1">
      <c r="A42" s="148"/>
      <c r="B42" s="153"/>
      <c r="C42" s="154"/>
      <c r="D42" s="116"/>
      <c r="E42" s="90" t="e">
        <f>VLOOKUP(B42,データ!$B$3:$L$85,11,FALSE)</f>
        <v>#N/A</v>
      </c>
      <c r="F42" s="122">
        <v>13000</v>
      </c>
      <c r="G42" s="155" t="e">
        <f>VLOOKUP(B42,データ!$B$3:$C$85,2,FALSE)</f>
        <v>#N/A</v>
      </c>
      <c r="H42" s="155"/>
      <c r="I42" s="151" t="str">
        <f t="shared" si="0"/>
        <v/>
      </c>
      <c r="J42" s="152"/>
    </row>
    <row r="43" spans="1:10" ht="19.7" customHeight="1">
      <c r="A43" s="148"/>
      <c r="B43" s="153"/>
      <c r="C43" s="154"/>
      <c r="D43" s="116"/>
      <c r="E43" s="90" t="e">
        <f>VLOOKUP(B43,データ!$B$3:$DH$185,11,FALSE)</f>
        <v>#N/A</v>
      </c>
      <c r="F43" s="123">
        <v>7</v>
      </c>
      <c r="G43" s="155" t="e">
        <f>VLOOKUP(B43,データ!$B$3:$C$185,2,FALSE)</f>
        <v>#N/A</v>
      </c>
      <c r="H43" s="155"/>
      <c r="I43" s="151" t="str">
        <f t="shared" si="0"/>
        <v/>
      </c>
      <c r="J43" s="152"/>
    </row>
    <row r="44" spans="1:10" ht="19.7" customHeight="1">
      <c r="A44" s="148"/>
      <c r="B44" s="153"/>
      <c r="C44" s="154"/>
      <c r="D44" s="116"/>
      <c r="E44" s="90" t="e">
        <f>VLOOKUP(B44,データ!$B$3:$L$85,11,FALSE)</f>
        <v>#N/A</v>
      </c>
      <c r="F44" s="122">
        <v>12000</v>
      </c>
      <c r="G44" s="155" t="e">
        <f>VLOOKUP(B44,データ!$B$3:$C$85,2,FALSE)</f>
        <v>#N/A</v>
      </c>
      <c r="H44" s="155"/>
      <c r="I44" s="151" t="str">
        <f t="shared" si="0"/>
        <v/>
      </c>
      <c r="J44" s="152"/>
    </row>
    <row r="45" spans="1:10" ht="19.7" customHeight="1">
      <c r="A45" s="149"/>
      <c r="B45" s="153" t="s">
        <v>197</v>
      </c>
      <c r="C45" s="154"/>
      <c r="D45" s="116"/>
      <c r="E45" s="90" t="str">
        <f>VLOOKUP(B45,データ!$B$3:$L$85,11,FALSE)</f>
        <v>pcs</v>
      </c>
      <c r="F45" s="126">
        <v>240</v>
      </c>
      <c r="G45" s="155">
        <f>VLOOKUP(B45,データ!$B$3:$C$85,2,FALSE)</f>
        <v>2.875</v>
      </c>
      <c r="H45" s="155"/>
      <c r="I45" s="151">
        <f t="shared" si="0"/>
        <v>690</v>
      </c>
      <c r="J45" s="152"/>
    </row>
    <row r="46" spans="1:10" ht="19.7" customHeight="1">
      <c r="A46" s="160" t="s">
        <v>33</v>
      </c>
      <c r="B46" s="161"/>
      <c r="C46" s="161"/>
      <c r="D46" s="161"/>
      <c r="E46" s="161"/>
      <c r="F46" s="164"/>
      <c r="G46" s="165"/>
      <c r="H46" s="166"/>
      <c r="I46" s="156">
        <f>SUM(I33:K45)</f>
        <v>18308</v>
      </c>
      <c r="J46" s="157"/>
    </row>
    <row r="47" spans="1:10" ht="24.75" customHeight="1" thickBot="1">
      <c r="A47" s="162"/>
      <c r="B47" s="163"/>
      <c r="C47" s="163"/>
      <c r="D47" s="163"/>
      <c r="E47" s="163"/>
      <c r="F47" s="167"/>
      <c r="G47" s="168"/>
      <c r="H47" s="169"/>
      <c r="I47" s="158"/>
      <c r="J47" s="159"/>
    </row>
    <row r="48" spans="1:10" ht="11.25" customHeight="1"/>
    <row r="49" spans="1:10" ht="20.100000000000001" customHeight="1">
      <c r="A49" s="174" t="s">
        <v>34</v>
      </c>
      <c r="B49" s="174"/>
      <c r="C49" s="174"/>
      <c r="D49" s="98"/>
      <c r="F49" s="106"/>
      <c r="G49" s="173" t="s">
        <v>35</v>
      </c>
      <c r="H49" s="173"/>
      <c r="I49" s="173"/>
      <c r="J49" s="64"/>
    </row>
    <row r="50" spans="1:10" ht="20.100000000000001" customHeight="1">
      <c r="A50" s="172" t="s">
        <v>119</v>
      </c>
      <c r="B50" s="172"/>
      <c r="C50" s="172"/>
      <c r="D50" s="99"/>
      <c r="E50" s="34"/>
      <c r="F50" s="34"/>
      <c r="G50" s="34"/>
      <c r="H50" s="34"/>
      <c r="I50" s="9"/>
    </row>
    <row r="51" spans="1:10" ht="20.100000000000001" customHeight="1">
      <c r="A51" s="171"/>
      <c r="B51" s="171"/>
      <c r="C51" s="171"/>
      <c r="D51" s="91"/>
      <c r="E51" s="34"/>
      <c r="F51" s="34"/>
      <c r="G51" s="34"/>
      <c r="H51" s="34"/>
    </row>
    <row r="52" spans="1:10" ht="20.100000000000001" customHeight="1">
      <c r="A52" s="175"/>
      <c r="B52" s="175"/>
      <c r="C52" s="175"/>
      <c r="D52" s="97"/>
      <c r="E52" s="34"/>
      <c r="F52" s="34"/>
      <c r="G52" s="34"/>
      <c r="H52" s="34"/>
    </row>
    <row r="53" spans="1:10" ht="20.100000000000001" customHeight="1">
      <c r="A53" s="171"/>
      <c r="B53" s="171"/>
      <c r="C53" s="171"/>
      <c r="D53" s="91"/>
      <c r="E53" s="34"/>
      <c r="F53" s="34"/>
      <c r="G53" s="34"/>
      <c r="H53" s="34"/>
    </row>
  </sheetData>
  <mergeCells count="74">
    <mergeCell ref="E22:F22"/>
    <mergeCell ref="A23:C23"/>
    <mergeCell ref="B38:C38"/>
    <mergeCell ref="G38:H38"/>
    <mergeCell ref="I34:J34"/>
    <mergeCell ref="C24:E24"/>
    <mergeCell ref="F25:F28"/>
    <mergeCell ref="A25:E25"/>
    <mergeCell ref="A26:E28"/>
    <mergeCell ref="B30:C32"/>
    <mergeCell ref="D30:D32"/>
    <mergeCell ref="B36:C36"/>
    <mergeCell ref="G36:H36"/>
    <mergeCell ref="I36:J36"/>
    <mergeCell ref="I33:J33"/>
    <mergeCell ref="F30:F32"/>
    <mergeCell ref="A1:K4"/>
    <mergeCell ref="G14:J14"/>
    <mergeCell ref="G30:H32"/>
    <mergeCell ref="G8:J10"/>
    <mergeCell ref="G11:H12"/>
    <mergeCell ref="I11:J12"/>
    <mergeCell ref="G13:H13"/>
    <mergeCell ref="I13:J13"/>
    <mergeCell ref="E13:F13"/>
    <mergeCell ref="E14:F14"/>
    <mergeCell ref="E23:F23"/>
    <mergeCell ref="G15:J19"/>
    <mergeCell ref="A22:C22"/>
    <mergeCell ref="A30:A32"/>
    <mergeCell ref="I30:J32"/>
    <mergeCell ref="G5:K5"/>
    <mergeCell ref="E30:E32"/>
    <mergeCell ref="A53:C53"/>
    <mergeCell ref="A50:C50"/>
    <mergeCell ref="G49:I49"/>
    <mergeCell ref="A49:C49"/>
    <mergeCell ref="A52:C52"/>
    <mergeCell ref="A51:C51"/>
    <mergeCell ref="I44:J44"/>
    <mergeCell ref="G45:H45"/>
    <mergeCell ref="I45:J45"/>
    <mergeCell ref="B45:C45"/>
    <mergeCell ref="B40:C40"/>
    <mergeCell ref="G40:H40"/>
    <mergeCell ref="I40:J40"/>
    <mergeCell ref="B42:C42"/>
    <mergeCell ref="B43:C43"/>
    <mergeCell ref="G33:H33"/>
    <mergeCell ref="B33:C33"/>
    <mergeCell ref="B34:C34"/>
    <mergeCell ref="G34:H34"/>
    <mergeCell ref="B35:C35"/>
    <mergeCell ref="G35:H35"/>
    <mergeCell ref="I46:J47"/>
    <mergeCell ref="A46:E47"/>
    <mergeCell ref="F46:H47"/>
    <mergeCell ref="B44:C44"/>
    <mergeCell ref="G44:H44"/>
    <mergeCell ref="I39:J39"/>
    <mergeCell ref="G39:H39"/>
    <mergeCell ref="B39:C39"/>
    <mergeCell ref="I41:J41"/>
    <mergeCell ref="I43:J43"/>
    <mergeCell ref="I42:J42"/>
    <mergeCell ref="G43:H43"/>
    <mergeCell ref="B41:C41"/>
    <mergeCell ref="G42:H42"/>
    <mergeCell ref="G41:H41"/>
    <mergeCell ref="I35:J35"/>
    <mergeCell ref="B37:C37"/>
    <mergeCell ref="G37:H37"/>
    <mergeCell ref="I37:J37"/>
    <mergeCell ref="I38:J38"/>
  </mergeCells>
  <phoneticPr fontId="4"/>
  <pageMargins left="0.22" right="0" top="0.16" bottom="0" header="0.16" footer="0"/>
  <pageSetup paperSize="9" scale="85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データ!$B$3:$B$85</xm:f>
          </x14:formula1>
          <xm:sqref>B33:B34 B36:B37 B35:C35 B44:C45 B38:C42</xm:sqref>
        </x14:dataValidation>
        <x14:dataValidation type="list" allowBlank="1" showInputMessage="1" showErrorMessage="1" xr:uid="{3F136317-5694-4F71-B628-7F21F3EC8465}">
          <x14:formula1>
            <xm:f>データ!$B$3:$B$112</xm:f>
          </x14:formula1>
          <xm:sqref>B43:C43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7"/>
  <sheetViews>
    <sheetView zoomScaleNormal="100" zoomScaleSheetLayoutView="115" workbookViewId="0">
      <selection sqref="A1:K4"/>
    </sheetView>
  </sheetViews>
  <sheetFormatPr defaultColWidth="9" defaultRowHeight="15"/>
  <cols>
    <col min="1" max="1" width="10.125" style="21" customWidth="1"/>
    <col min="2" max="2" width="9" style="21"/>
    <col min="3" max="3" width="33.625" style="21" customWidth="1"/>
    <col min="4" max="4" width="11.625" style="21" customWidth="1"/>
    <col min="5" max="5" width="10.375" style="21" customWidth="1"/>
    <col min="6" max="6" width="11.125" style="21" customWidth="1"/>
    <col min="7" max="7" width="7.75" style="21" customWidth="1"/>
    <col min="8" max="8" width="5.75" style="21" customWidth="1"/>
    <col min="9" max="9" width="11.375" style="21" customWidth="1"/>
    <col min="10" max="10" width="10" style="21" customWidth="1"/>
    <col min="11" max="11" width="11.75" style="21" bestFit="1" customWidth="1"/>
    <col min="12" max="12" width="12.25" style="21" bestFit="1" customWidth="1"/>
    <col min="13" max="13" width="11.875" style="21" bestFit="1" customWidth="1"/>
    <col min="14" max="14" width="9" style="21" bestFit="1" customWidth="1"/>
    <col min="15" max="15" width="3.75" style="21" bestFit="1" customWidth="1"/>
    <col min="16" max="16" width="5.5" style="21" bestFit="1" customWidth="1"/>
    <col min="17" max="17" width="9" style="21"/>
    <col min="18" max="18" width="10" style="21" bestFit="1" customWidth="1"/>
    <col min="19" max="16384" width="9" style="21"/>
  </cols>
  <sheetData>
    <row r="1" spans="1:11" ht="15" customHeight="1">
      <c r="A1" s="255" t="s">
        <v>36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</row>
    <row r="2" spans="1:11" ht="7.5" customHeight="1">
      <c r="A2" s="255"/>
      <c r="B2" s="255"/>
      <c r="C2" s="255"/>
      <c r="D2" s="255"/>
      <c r="E2" s="255"/>
      <c r="F2" s="255"/>
      <c r="G2" s="255"/>
      <c r="H2" s="255"/>
      <c r="I2" s="255"/>
      <c r="J2" s="255"/>
      <c r="K2" s="255"/>
    </row>
    <row r="3" spans="1:11" ht="9.75" customHeight="1">
      <c r="A3" s="255"/>
      <c r="B3" s="255"/>
      <c r="C3" s="255"/>
      <c r="D3" s="255"/>
      <c r="E3" s="255"/>
      <c r="F3" s="255"/>
      <c r="G3" s="255"/>
      <c r="H3" s="255"/>
      <c r="I3" s="255"/>
      <c r="J3" s="255"/>
      <c r="K3" s="255"/>
    </row>
    <row r="4" spans="1:11" ht="12.75" hidden="1" customHeight="1">
      <c r="A4" s="255"/>
      <c r="B4" s="255"/>
      <c r="C4" s="255"/>
      <c r="D4" s="255"/>
      <c r="E4" s="255"/>
      <c r="F4" s="255"/>
      <c r="G4" s="255"/>
      <c r="H4" s="255"/>
      <c r="I4" s="255"/>
      <c r="J4" s="255"/>
      <c r="K4" s="255"/>
    </row>
    <row r="5" spans="1:11">
      <c r="H5" s="277" t="str">
        <f>INVOICE!G5</f>
        <v>インボイス作成日（Date): 5/12/2025</v>
      </c>
      <c r="I5" s="277"/>
      <c r="J5" s="277"/>
      <c r="K5" s="277"/>
    </row>
    <row r="7" spans="1:11" ht="9.75" customHeight="1" thickBot="1"/>
    <row r="8" spans="1:11" ht="14.25" customHeight="1">
      <c r="A8" s="23" t="s">
        <v>1</v>
      </c>
      <c r="B8" s="24"/>
      <c r="C8" s="24"/>
      <c r="D8" s="24"/>
      <c r="E8" s="24"/>
      <c r="F8" s="24"/>
      <c r="G8" s="45"/>
      <c r="H8" s="184" t="str">
        <f>INVOICE!G8</f>
        <v>Invoice No
MASUDA VN-JP 019/25</v>
      </c>
      <c r="I8" s="185"/>
      <c r="J8" s="185"/>
      <c r="K8" s="186"/>
    </row>
    <row r="9" spans="1:11" ht="9.75" customHeight="1">
      <c r="A9" s="25"/>
      <c r="G9" s="43"/>
      <c r="H9" s="187"/>
      <c r="I9" s="188"/>
      <c r="J9" s="188"/>
      <c r="K9" s="189"/>
    </row>
    <row r="10" spans="1:11" ht="12.75" customHeight="1">
      <c r="A10" s="75" t="s">
        <v>2</v>
      </c>
      <c r="B10" s="2"/>
      <c r="C10" s="2"/>
      <c r="D10" s="2"/>
      <c r="E10" s="2"/>
      <c r="F10" s="42"/>
      <c r="G10" s="43"/>
      <c r="H10" s="187"/>
      <c r="I10" s="188"/>
      <c r="J10" s="188"/>
      <c r="K10" s="189"/>
    </row>
    <row r="11" spans="1:11" ht="15" customHeight="1">
      <c r="A11" s="73" t="s">
        <v>3</v>
      </c>
      <c r="B11" s="1"/>
      <c r="C11" s="1"/>
      <c r="D11" s="1"/>
      <c r="E11" s="2"/>
      <c r="F11" s="19"/>
      <c r="G11" s="43"/>
      <c r="H11" s="246" t="s">
        <v>4</v>
      </c>
      <c r="I11" s="246"/>
      <c r="J11" s="244" t="s">
        <v>5</v>
      </c>
      <c r="K11" s="245"/>
    </row>
    <row r="12" spans="1:11">
      <c r="A12" s="73" t="s">
        <v>200</v>
      </c>
      <c r="B12" s="1"/>
      <c r="C12" s="1"/>
      <c r="D12" s="1"/>
      <c r="E12" s="2"/>
      <c r="F12" s="19"/>
      <c r="G12" s="43"/>
      <c r="H12" s="246"/>
      <c r="I12" s="246"/>
      <c r="J12" s="244"/>
      <c r="K12" s="245"/>
    </row>
    <row r="13" spans="1:11">
      <c r="A13" s="73" t="s">
        <v>6</v>
      </c>
      <c r="B13" s="1"/>
      <c r="C13" s="1"/>
      <c r="D13" s="1"/>
      <c r="E13" s="63"/>
      <c r="F13" s="93"/>
      <c r="G13" s="43"/>
      <c r="H13" s="247" t="s">
        <v>7</v>
      </c>
      <c r="I13" s="247"/>
      <c r="J13" s="247" t="s">
        <v>37</v>
      </c>
      <c r="K13" s="248"/>
    </row>
    <row r="14" spans="1:11">
      <c r="A14" s="73" t="s">
        <v>9</v>
      </c>
      <c r="B14" s="1"/>
      <c r="E14" s="41"/>
      <c r="F14" s="62"/>
      <c r="G14" s="43"/>
      <c r="H14" s="249" t="s">
        <v>10</v>
      </c>
      <c r="I14" s="249"/>
      <c r="J14" s="249"/>
      <c r="K14" s="250"/>
    </row>
    <row r="15" spans="1:11" ht="15" customHeight="1">
      <c r="A15" s="73"/>
      <c r="B15" s="1"/>
      <c r="E15" s="62"/>
      <c r="F15" s="62"/>
      <c r="G15" s="43"/>
      <c r="H15" s="257" t="s">
        <v>11</v>
      </c>
      <c r="I15" s="258"/>
      <c r="J15" s="258"/>
      <c r="K15" s="259"/>
    </row>
    <row r="16" spans="1:11" ht="17.25" customHeight="1">
      <c r="A16" s="26"/>
      <c r="B16" s="27"/>
      <c r="C16" s="27"/>
      <c r="D16" s="27"/>
      <c r="E16" s="27"/>
      <c r="F16" s="27"/>
      <c r="G16" s="44"/>
      <c r="H16" s="257"/>
      <c r="I16" s="258"/>
      <c r="J16" s="258"/>
      <c r="K16" s="259"/>
    </row>
    <row r="17" spans="1:18">
      <c r="A17" s="28" t="s">
        <v>12</v>
      </c>
      <c r="B17" s="29"/>
      <c r="C17" s="29"/>
      <c r="D17" s="29"/>
      <c r="E17" s="29"/>
      <c r="F17" s="29"/>
      <c r="G17" s="43"/>
      <c r="H17" s="260"/>
      <c r="I17" s="261"/>
      <c r="J17" s="261"/>
      <c r="K17" s="262"/>
    </row>
    <row r="18" spans="1:18" ht="15" hidden="1" customHeight="1">
      <c r="A18" s="30"/>
      <c r="G18" s="40"/>
      <c r="H18" s="27"/>
      <c r="I18" s="27"/>
      <c r="J18" s="39"/>
      <c r="K18" s="31"/>
    </row>
    <row r="19" spans="1:18" ht="6" customHeight="1">
      <c r="A19" s="30"/>
      <c r="G19" s="43"/>
      <c r="J19" s="29"/>
      <c r="K19" s="31"/>
    </row>
    <row r="20" spans="1:18" ht="18.75">
      <c r="A20" s="75" t="s">
        <v>38</v>
      </c>
      <c r="B20" s="1"/>
      <c r="C20" s="1"/>
      <c r="D20" s="1"/>
      <c r="G20" s="43"/>
      <c r="H20" s="21" t="s">
        <v>39</v>
      </c>
      <c r="K20" s="31"/>
    </row>
    <row r="21" spans="1:18">
      <c r="A21" s="73" t="s">
        <v>40</v>
      </c>
      <c r="B21" s="1"/>
      <c r="C21" s="1"/>
      <c r="D21" s="1"/>
      <c r="G21" s="43"/>
      <c r="K21" s="31"/>
    </row>
    <row r="22" spans="1:18">
      <c r="A22" s="73" t="s">
        <v>41</v>
      </c>
      <c r="B22" s="1"/>
      <c r="C22" s="1"/>
      <c r="D22" s="1"/>
      <c r="G22" s="43"/>
      <c r="H22" s="82" t="s">
        <v>18</v>
      </c>
      <c r="I22" t="s">
        <v>19</v>
      </c>
      <c r="K22" s="31"/>
    </row>
    <row r="23" spans="1:18">
      <c r="A23" s="215" t="s">
        <v>42</v>
      </c>
      <c r="B23" s="216"/>
      <c r="C23" s="216"/>
      <c r="D23" s="96"/>
      <c r="E23" s="63"/>
      <c r="F23" s="63"/>
      <c r="G23" s="43"/>
      <c r="H23" s="81"/>
      <c r="I23" t="s">
        <v>21</v>
      </c>
      <c r="K23" s="31"/>
    </row>
    <row r="24" spans="1:18">
      <c r="A24" s="265" t="s">
        <v>43</v>
      </c>
      <c r="B24" s="266"/>
      <c r="C24" s="266"/>
      <c r="D24" s="1"/>
      <c r="E24" s="63"/>
      <c r="F24" s="93"/>
      <c r="G24" s="43"/>
      <c r="H24"/>
      <c r="I24"/>
      <c r="K24" s="31"/>
    </row>
    <row r="25" spans="1:18" ht="12.75" customHeight="1">
      <c r="A25" s="35"/>
      <c r="B25" s="36"/>
      <c r="C25" s="226"/>
      <c r="D25" s="226"/>
      <c r="E25" s="226"/>
      <c r="F25" s="27"/>
      <c r="G25" s="44"/>
      <c r="H25" s="81"/>
      <c r="I25" t="s">
        <v>23</v>
      </c>
      <c r="K25" s="31"/>
    </row>
    <row r="26" spans="1:18" ht="18.75">
      <c r="A26" s="229" t="s">
        <v>22</v>
      </c>
      <c r="B26" s="230"/>
      <c r="C26" s="230"/>
      <c r="D26" s="230"/>
      <c r="E26" s="230"/>
      <c r="F26" s="278"/>
      <c r="G26" s="272" t="s">
        <v>58</v>
      </c>
      <c r="H26" s="81"/>
      <c r="I26" t="s">
        <v>24</v>
      </c>
      <c r="K26" s="31"/>
    </row>
    <row r="27" spans="1:18" ht="12.75" customHeight="1">
      <c r="A27" s="231"/>
      <c r="B27" s="232"/>
      <c r="C27" s="232"/>
      <c r="D27" s="232"/>
      <c r="E27" s="232"/>
      <c r="F27" s="269"/>
      <c r="G27" s="273"/>
      <c r="H27" s="81"/>
      <c r="I27" t="s">
        <v>25</v>
      </c>
      <c r="K27" s="31"/>
    </row>
    <row r="28" spans="1:18" ht="11.25" customHeight="1">
      <c r="A28" s="233"/>
      <c r="B28" s="234"/>
      <c r="C28" s="234"/>
      <c r="D28" s="234"/>
      <c r="E28" s="234"/>
      <c r="F28" s="270"/>
      <c r="G28" s="273"/>
      <c r="K28" s="31"/>
    </row>
    <row r="29" spans="1:18" ht="13.5" customHeight="1" thickBot="1">
      <c r="A29" s="235"/>
      <c r="B29" s="236"/>
      <c r="C29" s="236"/>
      <c r="D29" s="236"/>
      <c r="E29" s="236"/>
      <c r="F29" s="271"/>
      <c r="G29" s="274"/>
      <c r="H29" s="22"/>
      <c r="I29" s="22"/>
      <c r="J29" s="22"/>
      <c r="K29" s="32"/>
    </row>
    <row r="30" spans="1:18" ht="9.75" customHeight="1" thickBot="1">
      <c r="A30" s="91"/>
      <c r="B30" s="91"/>
      <c r="C30" s="91"/>
      <c r="D30" s="91"/>
      <c r="E30" s="91"/>
      <c r="F30" s="92"/>
    </row>
    <row r="31" spans="1:18" ht="15" customHeight="1">
      <c r="A31" s="217" t="s">
        <v>26</v>
      </c>
      <c r="B31" s="180" t="s">
        <v>27</v>
      </c>
      <c r="C31" s="181"/>
      <c r="D31" s="238" t="s">
        <v>122</v>
      </c>
      <c r="E31" s="170" t="s">
        <v>28</v>
      </c>
      <c r="F31" s="220" t="s">
        <v>29</v>
      </c>
      <c r="G31" s="180" t="s">
        <v>44</v>
      </c>
      <c r="H31" s="181"/>
      <c r="I31" s="263" t="s">
        <v>45</v>
      </c>
      <c r="J31" s="238" t="s">
        <v>46</v>
      </c>
      <c r="K31" s="251" t="s">
        <v>47</v>
      </c>
    </row>
    <row r="32" spans="1:18" ht="11.25" customHeight="1">
      <c r="A32" s="267"/>
      <c r="B32" s="182"/>
      <c r="C32" s="183"/>
      <c r="D32" s="239"/>
      <c r="E32" s="154"/>
      <c r="F32" s="222"/>
      <c r="G32" s="182"/>
      <c r="H32" s="183"/>
      <c r="I32" s="264"/>
      <c r="J32" s="254"/>
      <c r="K32" s="252"/>
      <c r="L32" s="56"/>
      <c r="M32" s="56"/>
      <c r="N32" s="56"/>
      <c r="O32" s="56"/>
      <c r="P32" s="56"/>
      <c r="Q32" s="56"/>
      <c r="R32" s="56"/>
    </row>
    <row r="33" spans="1:18">
      <c r="A33" s="267"/>
      <c r="B33" s="182"/>
      <c r="C33" s="183"/>
      <c r="D33" s="239"/>
      <c r="E33" s="154"/>
      <c r="F33" s="222"/>
      <c r="G33" s="182"/>
      <c r="H33" s="183"/>
      <c r="I33" s="264"/>
      <c r="J33" s="254"/>
      <c r="K33" s="252"/>
      <c r="L33" s="56"/>
      <c r="M33" s="57"/>
      <c r="N33" s="58"/>
      <c r="O33" s="59"/>
      <c r="P33" s="60"/>
      <c r="Q33" s="60"/>
      <c r="R33" s="60"/>
    </row>
    <row r="34" spans="1:18" ht="10.5" customHeight="1">
      <c r="A34" s="268"/>
      <c r="B34" s="182"/>
      <c r="C34" s="183"/>
      <c r="D34" s="276"/>
      <c r="E34" s="256"/>
      <c r="F34" s="275"/>
      <c r="G34" s="182"/>
      <c r="H34" s="183"/>
      <c r="I34" s="264"/>
      <c r="J34" s="254"/>
      <c r="K34" s="253"/>
      <c r="L34" s="56"/>
      <c r="M34" s="132"/>
      <c r="N34" s="101"/>
      <c r="O34" s="133"/>
      <c r="P34" s="134"/>
      <c r="Q34" s="60"/>
      <c r="R34" s="60"/>
    </row>
    <row r="35" spans="1:18" ht="21" customHeight="1">
      <c r="A35" s="148" t="str">
        <f>IF(INVOICE!A33 &lt;&gt; "", INVOICE!A33, "")</f>
        <v>1/3</v>
      </c>
      <c r="B35" s="240" t="str">
        <f>INVOICE!B33</f>
        <v>TABLE EDGE MG23</v>
      </c>
      <c r="C35" s="241"/>
      <c r="D35" s="107"/>
      <c r="E35" s="108" t="str">
        <f>INVOICE!E33</f>
        <v>m</v>
      </c>
      <c r="F35" s="111">
        <f>INVOICE!F33</f>
        <v>4000</v>
      </c>
      <c r="G35" s="242"/>
      <c r="H35" s="243"/>
      <c r="I35" s="124" t="str">
        <f>IFERROR(ROUNDUP(F35/G35,0), "")</f>
        <v/>
      </c>
      <c r="J35" s="131"/>
      <c r="K35" s="113">
        <f>ROUND(N35+P35+20,2)</f>
        <v>20</v>
      </c>
      <c r="L35" s="56"/>
      <c r="M35" s="132"/>
      <c r="N35" s="135"/>
      <c r="O35" s="134"/>
      <c r="P35" s="132"/>
      <c r="Q35" s="60"/>
      <c r="R35" s="60"/>
    </row>
    <row r="36" spans="1:18" ht="21" customHeight="1">
      <c r="A36" s="148" t="str">
        <f>IF(INVOICE!A34 &lt;&gt; "", INVOICE!A34, "")</f>
        <v>1/4</v>
      </c>
      <c r="B36" s="240" t="str">
        <f>INVOICE!B34</f>
        <v>PUROTEKUTA 55788-16110</v>
      </c>
      <c r="C36" s="241"/>
      <c r="D36" s="108"/>
      <c r="E36" s="108" t="str">
        <f>INVOICE!E34</f>
        <v>pcs</v>
      </c>
      <c r="F36" s="111">
        <f>INVOICE!F34</f>
        <v>11000</v>
      </c>
      <c r="G36" s="242"/>
      <c r="H36" s="243"/>
      <c r="I36" s="124" t="str">
        <f t="shared" ref="I36:I47" si="0">IFERROR(ROUNDUP(F36/G36,0), "")</f>
        <v/>
      </c>
      <c r="J36" s="131"/>
      <c r="K36" s="113">
        <f>ROUND(N36+P36,2)+10</f>
        <v>10</v>
      </c>
      <c r="L36" s="56"/>
      <c r="M36" s="132"/>
      <c r="N36" s="135"/>
      <c r="O36" s="134"/>
      <c r="P36" s="132"/>
      <c r="Q36" s="60"/>
      <c r="R36" s="60"/>
    </row>
    <row r="37" spans="1:18" ht="21" customHeight="1">
      <c r="A37" s="148" t="str">
        <f>IF(INVOICE!A35 &lt;&gt; "", INVOICE!A35, "")</f>
        <v>1/5</v>
      </c>
      <c r="B37" s="240" t="str">
        <f>INVOICE!B35</f>
        <v>PUROTEKUTA 55788-52350</v>
      </c>
      <c r="C37" s="241"/>
      <c r="D37" s="108"/>
      <c r="E37" s="108" t="str">
        <f>INVOICE!E35</f>
        <v>pcs</v>
      </c>
      <c r="F37" s="111">
        <f>INVOICE!F35</f>
        <v>6000</v>
      </c>
      <c r="G37" s="242"/>
      <c r="H37" s="243"/>
      <c r="I37" s="124" t="str">
        <f t="shared" si="0"/>
        <v/>
      </c>
      <c r="J37" s="131"/>
      <c r="K37" s="113">
        <f>ROUND(N37+P37,2)+5</f>
        <v>5</v>
      </c>
      <c r="L37" s="56"/>
      <c r="M37" s="132"/>
      <c r="N37" s="135"/>
      <c r="O37" s="134"/>
      <c r="P37" s="132"/>
      <c r="Q37" s="60"/>
      <c r="R37" s="60"/>
    </row>
    <row r="38" spans="1:18" ht="21" customHeight="1">
      <c r="A38" s="148" t="str">
        <f>IF(INVOICE!A36 &lt;&gt; "", INVOICE!A36, "")</f>
        <v/>
      </c>
      <c r="B38" s="240" t="str">
        <f>INVOICE!B36</f>
        <v>PUROTEKUTA 55788-52360</v>
      </c>
      <c r="C38" s="241"/>
      <c r="D38" s="108"/>
      <c r="E38" s="108" t="str">
        <f>INVOICE!E36</f>
        <v>pcs</v>
      </c>
      <c r="F38" s="111">
        <f>INVOICE!F36</f>
        <v>5000</v>
      </c>
      <c r="G38" s="242"/>
      <c r="H38" s="243"/>
      <c r="I38" s="124" t="str">
        <f t="shared" si="0"/>
        <v/>
      </c>
      <c r="J38" s="131"/>
      <c r="K38" s="113">
        <f>ROUND(N38+P38,2)+5</f>
        <v>5</v>
      </c>
      <c r="L38" s="56"/>
      <c r="M38" s="132"/>
      <c r="N38" s="135"/>
      <c r="O38" s="134"/>
      <c r="P38" s="132"/>
      <c r="Q38" s="60"/>
      <c r="R38" s="60"/>
    </row>
    <row r="39" spans="1:18" ht="21" customHeight="1">
      <c r="A39" s="148" t="str">
        <f>IF(INVOICE!A37 &lt;&gt; "", INVOICE!A37, "")</f>
        <v/>
      </c>
      <c r="B39" s="240" t="str">
        <f>INVOICE!B37</f>
        <v>PUROTEKUTA 2A4P1-022G</v>
      </c>
      <c r="C39" s="241"/>
      <c r="D39" s="121"/>
      <c r="E39" s="108" t="str">
        <f>INVOICE!E37</f>
        <v>pcs</v>
      </c>
      <c r="F39" s="111">
        <f>INVOICE!F37</f>
        <v>11000</v>
      </c>
      <c r="G39" s="242"/>
      <c r="H39" s="243"/>
      <c r="I39" s="124" t="str">
        <f t="shared" si="0"/>
        <v/>
      </c>
      <c r="J39" s="131"/>
      <c r="K39" s="113">
        <f>ROUND(N39+P39,2)+10</f>
        <v>10</v>
      </c>
      <c r="L39" s="56"/>
      <c r="M39" s="132"/>
      <c r="N39" s="135"/>
      <c r="O39" s="134"/>
      <c r="P39" s="132"/>
      <c r="Q39" s="60"/>
      <c r="R39" s="60"/>
    </row>
    <row r="40" spans="1:18" ht="21" customHeight="1">
      <c r="A40" s="148" t="str">
        <f>IF(INVOICE!A38 &lt;&gt; "", INVOICE!A38, "")</f>
        <v/>
      </c>
      <c r="B40" s="240" t="str">
        <f>INVOICE!B38</f>
        <v>PUROTEKUTA 55788-K0060</v>
      </c>
      <c r="C40" s="241"/>
      <c r="E40" s="108" t="str">
        <f>INVOICE!E38</f>
        <v>pcs</v>
      </c>
      <c r="F40" s="111">
        <f>INVOICE!F38</f>
        <v>5500</v>
      </c>
      <c r="G40" s="242"/>
      <c r="H40" s="243"/>
      <c r="I40" s="124" t="str">
        <f t="shared" si="0"/>
        <v/>
      </c>
      <c r="J40" s="131"/>
      <c r="K40" s="113">
        <f>ROUND(N40+P40,2)+10</f>
        <v>10</v>
      </c>
      <c r="L40" s="56"/>
      <c r="M40" s="132"/>
      <c r="N40" s="135"/>
      <c r="O40" s="134"/>
      <c r="P40" s="132"/>
      <c r="Q40" s="60"/>
      <c r="R40" s="60"/>
    </row>
    <row r="41" spans="1:18" ht="21" customHeight="1">
      <c r="A41" s="148" t="str">
        <f>IF(INVOICE!A39 &lt;&gt; "", INVOICE!A39, "")</f>
        <v/>
      </c>
      <c r="B41" s="240" t="str">
        <f>INVOICE!B39</f>
        <v>PUROTEKUTA 55788-48090</v>
      </c>
      <c r="C41" s="241"/>
      <c r="D41" s="108"/>
      <c r="E41" s="108" t="str">
        <f>INVOICE!E39</f>
        <v>pcs</v>
      </c>
      <c r="F41" s="111">
        <f>INVOICE!F39</f>
        <v>9000</v>
      </c>
      <c r="G41" s="242"/>
      <c r="H41" s="243"/>
      <c r="I41" s="124" t="str">
        <f t="shared" si="0"/>
        <v/>
      </c>
      <c r="J41" s="131"/>
      <c r="K41" s="113">
        <f>ROUND(N41+P41,2)+10</f>
        <v>10</v>
      </c>
      <c r="L41" s="56"/>
      <c r="M41" s="132"/>
      <c r="N41" s="135"/>
      <c r="O41" s="134"/>
      <c r="P41" s="132"/>
      <c r="Q41" s="60"/>
      <c r="R41" s="60"/>
    </row>
    <row r="42" spans="1:18" ht="21" customHeight="1">
      <c r="A42" s="148" t="str">
        <f>IF(INVOICE!A40 &lt;&gt; "", INVOICE!A40, "")</f>
        <v/>
      </c>
      <c r="B42" s="240" t="str">
        <f>INVOICE!B40</f>
        <v>PUROTEKUTA 55788-K0060</v>
      </c>
      <c r="C42" s="241"/>
      <c r="D42" s="108"/>
      <c r="E42" s="108" t="str">
        <f>INVOICE!E40</f>
        <v>pcs</v>
      </c>
      <c r="F42" s="111">
        <f>INVOICE!F40</f>
        <v>5500</v>
      </c>
      <c r="G42" s="242"/>
      <c r="H42" s="243"/>
      <c r="I42" s="124" t="str">
        <f t="shared" si="0"/>
        <v/>
      </c>
      <c r="J42" s="131"/>
      <c r="K42" s="113">
        <f>ROUND(N42+P42,2)+10</f>
        <v>10</v>
      </c>
      <c r="L42" s="132"/>
      <c r="M42" s="132"/>
      <c r="N42" s="135"/>
      <c r="O42" s="134"/>
      <c r="P42" s="132"/>
      <c r="Q42" s="60"/>
      <c r="R42" s="60"/>
    </row>
    <row r="43" spans="1:18" ht="21" customHeight="1">
      <c r="A43" s="148" t="str">
        <f>IF(INVOICE!A41 &lt;&gt; "", INVOICE!A41, "")</f>
        <v/>
      </c>
      <c r="B43" s="240" t="str">
        <f>INVOICE!B41</f>
        <v>PUROTEKUTA 55788-K0060</v>
      </c>
      <c r="C43" s="241"/>
      <c r="D43" s="108"/>
      <c r="E43" s="108" t="str">
        <f>INVOICE!E41</f>
        <v>pcs</v>
      </c>
      <c r="F43" s="111">
        <f>INVOICE!F41</f>
        <v>13500</v>
      </c>
      <c r="G43" s="242"/>
      <c r="H43" s="243"/>
      <c r="I43" s="124" t="str">
        <f t="shared" si="0"/>
        <v/>
      </c>
      <c r="J43" s="131"/>
      <c r="K43" s="113">
        <f>ROUND(N43+P43,2)+20</f>
        <v>20</v>
      </c>
      <c r="L43" s="132"/>
      <c r="M43" s="132"/>
      <c r="N43" s="135"/>
      <c r="O43" s="134"/>
      <c r="P43" s="132"/>
      <c r="Q43" s="60"/>
      <c r="R43" s="60"/>
    </row>
    <row r="44" spans="1:18" ht="21" customHeight="1">
      <c r="A44" s="148" t="str">
        <f>IF(INVOICE!A42 &lt;&gt; "", INVOICE!A42, "")</f>
        <v/>
      </c>
      <c r="B44" s="240">
        <f>INVOICE!B42</f>
        <v>0</v>
      </c>
      <c r="C44" s="241"/>
      <c r="D44" s="108"/>
      <c r="E44" s="108" t="e">
        <f>INVOICE!E42</f>
        <v>#N/A</v>
      </c>
      <c r="F44" s="111">
        <f>INVOICE!F42</f>
        <v>13000</v>
      </c>
      <c r="G44" s="242"/>
      <c r="H44" s="243"/>
      <c r="I44" s="124" t="str">
        <f t="shared" si="0"/>
        <v/>
      </c>
      <c r="J44" s="131"/>
      <c r="K44" s="113">
        <f>ROUND(N44+P44,2)+20</f>
        <v>20</v>
      </c>
      <c r="L44" s="132"/>
      <c r="M44" s="132"/>
      <c r="N44" s="135"/>
      <c r="O44" s="134"/>
      <c r="P44" s="132"/>
      <c r="Q44" s="60"/>
      <c r="R44" s="60"/>
    </row>
    <row r="45" spans="1:18" ht="21" customHeight="1">
      <c r="A45" s="148" t="str">
        <f>IF(INVOICE!A43 &lt;&gt; "", INVOICE!A43, "")</f>
        <v/>
      </c>
      <c r="B45" s="240">
        <f>INVOICE!B43</f>
        <v>0</v>
      </c>
      <c r="C45" s="241"/>
      <c r="D45" s="108"/>
      <c r="E45" s="108" t="e">
        <f>INVOICE!E43</f>
        <v>#N/A</v>
      </c>
      <c r="F45" s="111">
        <f>INVOICE!F43</f>
        <v>7</v>
      </c>
      <c r="G45" s="242"/>
      <c r="H45" s="243"/>
      <c r="I45" s="124" t="str">
        <f t="shared" si="0"/>
        <v/>
      </c>
      <c r="J45" s="131"/>
      <c r="K45" s="113">
        <f t="shared" ref="K45" si="1">ROUND(N45+P45,2)</f>
        <v>0</v>
      </c>
      <c r="L45" s="56"/>
      <c r="M45" s="132"/>
      <c r="N45" s="135"/>
      <c r="O45" s="134"/>
      <c r="P45" s="132"/>
      <c r="Q45" s="60"/>
      <c r="R45" s="60"/>
    </row>
    <row r="46" spans="1:18" ht="21" customHeight="1">
      <c r="A46" s="148" t="str">
        <f>IF(INVOICE!A44 &lt;&gt; "", INVOICE!A44, "")</f>
        <v/>
      </c>
      <c r="B46" s="240">
        <f>INVOICE!B44</f>
        <v>0</v>
      </c>
      <c r="C46" s="241"/>
      <c r="D46" s="108"/>
      <c r="E46" s="108" t="e">
        <f>INVOICE!E44</f>
        <v>#N/A</v>
      </c>
      <c r="F46" s="111">
        <f>INVOICE!F44</f>
        <v>12000</v>
      </c>
      <c r="G46" s="242"/>
      <c r="H46" s="243"/>
      <c r="I46" s="124" t="str">
        <f t="shared" si="0"/>
        <v/>
      </c>
      <c r="J46" s="131"/>
      <c r="K46" s="113">
        <f>ROUND(N46+P46,2)+100</f>
        <v>100</v>
      </c>
      <c r="L46" s="56"/>
      <c r="M46" s="132"/>
      <c r="N46" s="135"/>
      <c r="O46" s="134"/>
      <c r="P46" s="132"/>
      <c r="Q46" s="60"/>
      <c r="R46" s="60"/>
    </row>
    <row r="47" spans="1:18" ht="21" customHeight="1">
      <c r="A47" s="148" t="str">
        <f>IF(INVOICE!A45 &lt;&gt; "", INVOICE!A45, "")</f>
        <v/>
      </c>
      <c r="B47" s="240" t="str">
        <f>INVOICE!B45</f>
        <v>TABLE EDGE MI3 156</v>
      </c>
      <c r="C47" s="241"/>
      <c r="D47" s="127"/>
      <c r="E47" s="108" t="str">
        <f>INVOICE!E45</f>
        <v>pcs</v>
      </c>
      <c r="F47" s="111">
        <f>INVOICE!F45</f>
        <v>240</v>
      </c>
      <c r="G47" s="242"/>
      <c r="H47" s="243"/>
      <c r="I47" s="124" t="str">
        <f t="shared" si="0"/>
        <v/>
      </c>
      <c r="J47" s="131"/>
      <c r="K47" s="113">
        <f>ROUND(N47+P47,2)+20</f>
        <v>20</v>
      </c>
      <c r="L47" s="56"/>
      <c r="M47" s="132"/>
      <c r="N47" s="135"/>
      <c r="O47" s="134"/>
      <c r="P47" s="132"/>
      <c r="Q47" s="60"/>
      <c r="R47" s="60"/>
    </row>
    <row r="48" spans="1:18" ht="21" customHeight="1">
      <c r="A48" s="120"/>
      <c r="B48" s="240"/>
      <c r="C48" s="241"/>
      <c r="D48" s="125"/>
      <c r="E48" s="108"/>
      <c r="F48" s="111"/>
      <c r="G48" s="242"/>
      <c r="H48" s="294"/>
      <c r="I48" s="124"/>
      <c r="J48" s="119"/>
      <c r="K48" s="113"/>
      <c r="M48" s="132"/>
      <c r="N48" s="135"/>
      <c r="O48" s="134"/>
      <c r="P48" s="132"/>
      <c r="Q48" s="60"/>
      <c r="R48" s="60"/>
    </row>
    <row r="49" spans="1:16" ht="17.25" customHeight="1">
      <c r="A49" s="280" t="s">
        <v>141</v>
      </c>
      <c r="B49" s="203"/>
      <c r="C49" s="203"/>
      <c r="D49" s="203"/>
      <c r="E49" s="204"/>
      <c r="F49" s="285">
        <f>SUMIF(E35:E48,L42,F35:F48)</f>
        <v>0</v>
      </c>
      <c r="G49" s="287"/>
      <c r="H49" s="204"/>
      <c r="I49" s="295">
        <f>SUMIF(E35:E48,L42,I35:I48)+SUMIF(E35:E48,L44,I35:I48)</f>
        <v>0</v>
      </c>
      <c r="J49" s="290">
        <f>SUM(J35:J48)</f>
        <v>0</v>
      </c>
      <c r="K49" s="292">
        <f>SUM(K35:K48)</f>
        <v>240</v>
      </c>
      <c r="M49" s="132"/>
      <c r="N49" s="135"/>
      <c r="O49" s="1"/>
      <c r="P49" s="1"/>
    </row>
    <row r="50" spans="1:16" ht="3.75" customHeight="1">
      <c r="A50" s="281"/>
      <c r="B50" s="203"/>
      <c r="C50" s="203"/>
      <c r="D50" s="203"/>
      <c r="E50" s="204"/>
      <c r="F50" s="286"/>
      <c r="G50" s="287"/>
      <c r="H50" s="204"/>
      <c r="I50" s="296"/>
      <c r="J50" s="290"/>
      <c r="K50" s="292"/>
      <c r="M50" s="132"/>
      <c r="N50" s="101"/>
      <c r="O50" s="1"/>
      <c r="P50" s="1"/>
    </row>
    <row r="51" spans="1:16" ht="18" customHeight="1">
      <c r="A51" s="281"/>
      <c r="B51" s="203"/>
      <c r="C51" s="203"/>
      <c r="D51" s="203"/>
      <c r="E51" s="204"/>
      <c r="F51" s="129">
        <f>SUMIF(E35:E48,L43,F35:F48)</f>
        <v>0</v>
      </c>
      <c r="G51" s="287"/>
      <c r="H51" s="204"/>
      <c r="I51" s="297">
        <f>SUMIF(E35:E48,L43,I35:I48)</f>
        <v>0</v>
      </c>
      <c r="J51" s="290"/>
      <c r="K51" s="292"/>
      <c r="M51" s="1"/>
      <c r="N51" s="101"/>
      <c r="O51" s="1"/>
      <c r="P51" s="1"/>
    </row>
    <row r="52" spans="1:16" ht="21" customHeight="1" thickBot="1">
      <c r="A52" s="282"/>
      <c r="B52" s="283"/>
      <c r="C52" s="283"/>
      <c r="D52" s="283"/>
      <c r="E52" s="284"/>
      <c r="F52" s="130">
        <f>SUMIF(E35:E48,L44,F35:F48)</f>
        <v>0</v>
      </c>
      <c r="G52" s="288"/>
      <c r="H52" s="284"/>
      <c r="I52" s="298"/>
      <c r="J52" s="291"/>
      <c r="K52" s="293"/>
      <c r="M52" s="1"/>
      <c r="N52" s="101"/>
      <c r="O52" s="1"/>
      <c r="P52" s="1"/>
    </row>
    <row r="53" spans="1:16" ht="20.100000000000001" customHeight="1">
      <c r="A53" s="20" t="str">
        <f>INVOICE!A50</f>
        <v>CIF TO NAGOYA PORT</v>
      </c>
      <c r="B53" s="1"/>
      <c r="F53" s="94"/>
      <c r="I53" s="289"/>
      <c r="J53" s="203"/>
      <c r="M53" s="84"/>
      <c r="N53" s="57"/>
    </row>
    <row r="54" spans="1:16" ht="18" customHeight="1">
      <c r="A54" s="21" t="s">
        <v>50</v>
      </c>
      <c r="D54" s="104">
        <f>F49</f>
        <v>0</v>
      </c>
      <c r="E54" s="86">
        <f>F51</f>
        <v>0</v>
      </c>
      <c r="F54" s="94">
        <f>F52</f>
        <v>0</v>
      </c>
      <c r="I54" s="173" t="s">
        <v>35</v>
      </c>
      <c r="J54" s="173"/>
      <c r="K54" s="173"/>
      <c r="M54" s="95"/>
      <c r="N54" s="57"/>
    </row>
    <row r="55" spans="1:16" ht="20.100000000000001" customHeight="1">
      <c r="A55" s="21" t="s">
        <v>51</v>
      </c>
      <c r="D55" s="46">
        <f>K49</f>
        <v>240</v>
      </c>
      <c r="E55" s="110">
        <f>J49</f>
        <v>0</v>
      </c>
      <c r="F55" s="33"/>
      <c r="H55" s="33"/>
      <c r="I55" s="103"/>
      <c r="J55" s="55"/>
      <c r="K55" s="95"/>
      <c r="N55" s="92"/>
    </row>
    <row r="56" spans="1:16" ht="25.5" customHeight="1">
      <c r="A56" s="21" t="s">
        <v>53</v>
      </c>
      <c r="D56" s="61">
        <f>1.1*1.5*1.1*6+1.1*1.1*1.4+1.1*1.2*1.8*5+1.1*1.1*1</f>
        <v>25.674000000000007</v>
      </c>
      <c r="F56" s="84"/>
      <c r="N56" s="57"/>
    </row>
    <row r="57" spans="1:16" ht="20.100000000000001" customHeight="1">
      <c r="A57" s="21" t="s">
        <v>54</v>
      </c>
      <c r="C57" s="92"/>
      <c r="N57" s="57"/>
    </row>
    <row r="58" spans="1:16" ht="80.25" customHeight="1">
      <c r="A58" s="279"/>
      <c r="B58" s="279"/>
      <c r="C58" s="279"/>
      <c r="D58" s="100"/>
    </row>
    <row r="71" spans="5:12">
      <c r="E71" s="136"/>
      <c r="F71" s="136"/>
      <c r="G71" s="136"/>
      <c r="H71" s="136"/>
      <c r="I71" s="136"/>
      <c r="J71" s="136"/>
      <c r="K71" s="136"/>
    </row>
    <row r="72" spans="5:12">
      <c r="E72" s="136"/>
      <c r="F72" s="137"/>
      <c r="G72" s="138"/>
      <c r="H72" s="139"/>
      <c r="I72" s="140"/>
      <c r="J72" s="140"/>
      <c r="K72" s="140"/>
    </row>
    <row r="73" spans="5:12">
      <c r="E73" s="136"/>
      <c r="F73" s="137"/>
      <c r="G73" s="138"/>
      <c r="H73" s="139"/>
      <c r="I73" s="140"/>
      <c r="J73" s="140"/>
      <c r="K73" s="140"/>
      <c r="L73" s="52"/>
    </row>
    <row r="74" spans="5:12">
      <c r="E74" s="136"/>
      <c r="F74" s="137"/>
      <c r="G74" s="138"/>
      <c r="H74" s="139"/>
      <c r="I74" s="140"/>
      <c r="J74" s="140"/>
      <c r="K74" s="140"/>
      <c r="L74" s="52"/>
    </row>
    <row r="75" spans="5:12">
      <c r="E75" s="136"/>
      <c r="F75" s="137"/>
      <c r="G75" s="138"/>
      <c r="H75" s="139"/>
      <c r="I75" s="140"/>
      <c r="J75" s="140"/>
      <c r="K75" s="140"/>
      <c r="L75" s="52"/>
    </row>
    <row r="76" spans="5:12">
      <c r="E76" s="136"/>
      <c r="F76" s="137"/>
      <c r="G76" s="138"/>
      <c r="H76" s="139"/>
      <c r="I76" s="140"/>
      <c r="J76" s="140"/>
      <c r="K76" s="140"/>
      <c r="L76" s="52"/>
    </row>
    <row r="77" spans="5:12">
      <c r="E77" s="136"/>
      <c r="F77" s="137"/>
      <c r="G77" s="138"/>
      <c r="H77" s="139"/>
      <c r="I77" s="136"/>
      <c r="J77" s="140"/>
      <c r="K77" s="140"/>
    </row>
    <row r="78" spans="5:12">
      <c r="E78" s="136"/>
      <c r="F78" s="137"/>
      <c r="G78" s="138"/>
      <c r="H78" s="139"/>
      <c r="I78" s="136"/>
      <c r="J78" s="140"/>
      <c r="K78" s="140"/>
    </row>
    <row r="79" spans="5:12">
      <c r="E79" s="136"/>
      <c r="F79" s="137"/>
      <c r="G79" s="138"/>
      <c r="H79" s="139"/>
      <c r="I79" s="136"/>
      <c r="J79" s="140"/>
      <c r="K79" s="140"/>
    </row>
    <row r="80" spans="5:12">
      <c r="E80" s="136"/>
      <c r="F80" s="137"/>
      <c r="G80" s="138"/>
      <c r="H80" s="139"/>
      <c r="I80" s="136"/>
      <c r="J80" s="140"/>
      <c r="K80" s="140"/>
    </row>
    <row r="81" spans="3:12">
      <c r="E81" s="136"/>
      <c r="F81" s="137"/>
      <c r="G81" s="138"/>
      <c r="H81" s="139"/>
      <c r="I81" s="136"/>
      <c r="J81" s="140"/>
      <c r="K81" s="140"/>
    </row>
    <row r="82" spans="3:12">
      <c r="E82" s="136"/>
      <c r="F82" s="137"/>
      <c r="G82" s="138"/>
      <c r="H82" s="139"/>
      <c r="I82" s="141"/>
      <c r="J82" s="140"/>
      <c r="K82" s="140"/>
    </row>
    <row r="83" spans="3:12">
      <c r="E83" s="136"/>
      <c r="F83" s="137"/>
      <c r="G83" s="138"/>
      <c r="H83" s="139"/>
      <c r="I83" s="141"/>
      <c r="J83" s="140"/>
      <c r="K83" s="140"/>
    </row>
    <row r="84" spans="3:12">
      <c r="C84" s="69"/>
      <c r="D84" s="69"/>
      <c r="E84" s="136"/>
      <c r="F84" s="137"/>
      <c r="G84" s="138"/>
      <c r="H84" s="139"/>
      <c r="I84" s="141"/>
      <c r="J84" s="140"/>
      <c r="K84" s="140"/>
    </row>
    <row r="85" spans="3:12">
      <c r="E85" s="136"/>
      <c r="F85" s="137"/>
      <c r="G85" s="138"/>
      <c r="H85" s="139"/>
      <c r="I85" s="141"/>
      <c r="J85" s="140"/>
      <c r="K85" s="140"/>
    </row>
    <row r="86" spans="3:12">
      <c r="E86" s="92"/>
      <c r="F86" s="142"/>
      <c r="G86" s="138"/>
      <c r="H86" s="143"/>
      <c r="J86" s="92"/>
      <c r="K86" s="140"/>
    </row>
    <row r="87" spans="3:12">
      <c r="E87" s="92"/>
      <c r="F87" s="142"/>
      <c r="G87" s="138"/>
      <c r="H87" s="144"/>
      <c r="J87" s="92"/>
      <c r="K87" s="140"/>
    </row>
    <row r="88" spans="3:12">
      <c r="E88" s="92"/>
      <c r="F88" s="88"/>
      <c r="G88" s="138"/>
      <c r="H88" s="145"/>
      <c r="J88" s="146"/>
      <c r="K88" s="140"/>
      <c r="L88" s="49"/>
    </row>
    <row r="89" spans="3:12">
      <c r="E89" s="92"/>
      <c r="F89" s="88"/>
      <c r="G89" s="138"/>
      <c r="H89" s="145"/>
      <c r="J89" s="146"/>
      <c r="K89" s="140"/>
      <c r="L89" s="49"/>
    </row>
    <row r="90" spans="3:12">
      <c r="E90" s="92"/>
      <c r="F90" s="88"/>
      <c r="G90" s="138"/>
      <c r="H90" s="145"/>
      <c r="J90" s="146"/>
      <c r="K90" s="140"/>
      <c r="L90" s="49"/>
    </row>
    <row r="91" spans="3:12">
      <c r="E91" s="92"/>
      <c r="F91" s="88"/>
      <c r="G91" s="138"/>
      <c r="H91" s="145"/>
      <c r="J91" s="146"/>
      <c r="K91" s="140"/>
      <c r="L91" s="49"/>
    </row>
    <row r="92" spans="3:12">
      <c r="E92" s="92"/>
      <c r="F92" s="88"/>
      <c r="G92" s="138"/>
      <c r="H92" s="145"/>
      <c r="J92" s="146"/>
      <c r="K92" s="140"/>
      <c r="L92" s="49"/>
    </row>
    <row r="93" spans="3:12">
      <c r="E93" s="92"/>
      <c r="F93" s="88"/>
      <c r="G93" s="138"/>
      <c r="H93" s="145"/>
      <c r="J93" s="146"/>
      <c r="K93" s="140"/>
      <c r="L93" s="49"/>
    </row>
    <row r="94" spans="3:12">
      <c r="E94" s="92"/>
      <c r="F94" s="147"/>
      <c r="G94" s="138"/>
      <c r="H94" s="144"/>
      <c r="I94" s="92"/>
      <c r="J94" s="146"/>
      <c r="K94" s="140"/>
    </row>
    <row r="95" spans="3:12">
      <c r="E95" s="92"/>
      <c r="F95" s="147"/>
      <c r="G95" s="138"/>
      <c r="H95" s="144"/>
      <c r="I95" s="92"/>
      <c r="J95" s="146"/>
      <c r="K95" s="140"/>
    </row>
    <row r="96" spans="3:12">
      <c r="E96" s="92"/>
      <c r="F96" s="147"/>
      <c r="G96" s="138"/>
      <c r="H96" s="144"/>
      <c r="I96" s="92"/>
      <c r="J96" s="146"/>
      <c r="K96" s="140"/>
    </row>
    <row r="97" spans="5:11">
      <c r="E97" s="92"/>
      <c r="F97" s="92"/>
      <c r="G97" s="138"/>
      <c r="H97" s="92"/>
      <c r="I97" s="92"/>
      <c r="J97" s="92"/>
      <c r="K97" s="92"/>
    </row>
  </sheetData>
  <mergeCells count="62">
    <mergeCell ref="I54:K54"/>
    <mergeCell ref="I53:J53"/>
    <mergeCell ref="J49:J52"/>
    <mergeCell ref="K49:K52"/>
    <mergeCell ref="G48:H48"/>
    <mergeCell ref="I49:I50"/>
    <mergeCell ref="I51:I52"/>
    <mergeCell ref="A58:C58"/>
    <mergeCell ref="A49:E52"/>
    <mergeCell ref="F49:F50"/>
    <mergeCell ref="G49:H52"/>
    <mergeCell ref="G46:H46"/>
    <mergeCell ref="B46:C46"/>
    <mergeCell ref="B48:C48"/>
    <mergeCell ref="G47:H47"/>
    <mergeCell ref="B47:C47"/>
    <mergeCell ref="A1:K4"/>
    <mergeCell ref="E31:E34"/>
    <mergeCell ref="H15:K17"/>
    <mergeCell ref="A23:C23"/>
    <mergeCell ref="I31:I34"/>
    <mergeCell ref="A24:C24"/>
    <mergeCell ref="C25:E25"/>
    <mergeCell ref="G31:H34"/>
    <mergeCell ref="B31:C34"/>
    <mergeCell ref="A31:A34"/>
    <mergeCell ref="A27:F29"/>
    <mergeCell ref="G26:G29"/>
    <mergeCell ref="F31:F34"/>
    <mergeCell ref="D31:D34"/>
    <mergeCell ref="H5:K5"/>
    <mergeCell ref="A26:F26"/>
    <mergeCell ref="H14:K14"/>
    <mergeCell ref="G36:H36"/>
    <mergeCell ref="B38:C38"/>
    <mergeCell ref="K31:K34"/>
    <mergeCell ref="J31:J34"/>
    <mergeCell ref="B35:C35"/>
    <mergeCell ref="G35:H35"/>
    <mergeCell ref="B37:C37"/>
    <mergeCell ref="G37:H37"/>
    <mergeCell ref="B36:C36"/>
    <mergeCell ref="G38:H38"/>
    <mergeCell ref="H8:K10"/>
    <mergeCell ref="J11:K12"/>
    <mergeCell ref="H11:I12"/>
    <mergeCell ref="J13:K13"/>
    <mergeCell ref="H13:I13"/>
    <mergeCell ref="B39:C39"/>
    <mergeCell ref="B41:C41"/>
    <mergeCell ref="B40:C40"/>
    <mergeCell ref="B44:C44"/>
    <mergeCell ref="G43:H43"/>
    <mergeCell ref="G39:H39"/>
    <mergeCell ref="B42:C42"/>
    <mergeCell ref="B45:C45"/>
    <mergeCell ref="G42:H42"/>
    <mergeCell ref="G45:H45"/>
    <mergeCell ref="G40:H40"/>
    <mergeCell ref="G41:H41"/>
    <mergeCell ref="G44:H44"/>
    <mergeCell ref="B43:C43"/>
  </mergeCells>
  <phoneticPr fontId="4"/>
  <pageMargins left="0.16" right="0" top="0" bottom="0" header="0" footer="0"/>
  <pageSetup paperSize="9"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261AF-8980-4046-8438-A4795BA14B70}">
  <dimension ref="A1:K60"/>
  <sheetViews>
    <sheetView view="pageBreakPreview" zoomScale="85" zoomScaleNormal="130" zoomScaleSheetLayoutView="85" workbookViewId="0">
      <selection sqref="A1:K4"/>
    </sheetView>
  </sheetViews>
  <sheetFormatPr defaultRowHeight="13.5"/>
  <cols>
    <col min="1" max="1" width="9.375" customWidth="1"/>
    <col min="3" max="3" width="32.75" customWidth="1"/>
    <col min="4" max="4" width="12.5" customWidth="1"/>
    <col min="5" max="5" width="7.125" customWidth="1"/>
    <col min="6" max="6" width="8.25" customWidth="1"/>
    <col min="7" max="7" width="5.875" customWidth="1"/>
    <col min="8" max="8" width="5.375" customWidth="1"/>
    <col min="9" max="9" width="5.75" customWidth="1"/>
    <col min="10" max="10" width="21.25" customWidth="1"/>
    <col min="11" max="11" width="2.5" hidden="1" customWidth="1"/>
  </cols>
  <sheetData>
    <row r="1" spans="1:11" ht="8.25" customHeight="1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</row>
    <row r="2" spans="1:11" ht="7.5" customHeight="1">
      <c r="A2" s="176"/>
      <c r="B2" s="176"/>
      <c r="C2" s="176"/>
      <c r="D2" s="176"/>
      <c r="E2" s="176"/>
      <c r="F2" s="176"/>
      <c r="G2" s="176"/>
      <c r="H2" s="176"/>
      <c r="I2" s="176"/>
      <c r="J2" s="176"/>
      <c r="K2" s="176"/>
    </row>
    <row r="3" spans="1:11" ht="13.5" customHeight="1">
      <c r="A3" s="176"/>
      <c r="B3" s="176"/>
      <c r="C3" s="176"/>
      <c r="D3" s="176"/>
      <c r="E3" s="176"/>
      <c r="F3" s="176"/>
      <c r="G3" s="176"/>
      <c r="H3" s="176"/>
      <c r="I3" s="176"/>
      <c r="J3" s="176"/>
      <c r="K3" s="176"/>
    </row>
    <row r="4" spans="1:11" ht="4.5" customHeight="1">
      <c r="A4" s="176"/>
      <c r="B4" s="176"/>
      <c r="C4" s="176"/>
      <c r="D4" s="176"/>
      <c r="E4" s="176"/>
      <c r="F4" s="176"/>
      <c r="G4" s="176"/>
      <c r="H4" s="176"/>
      <c r="I4" s="176"/>
      <c r="J4" s="176"/>
      <c r="K4" s="176"/>
    </row>
    <row r="5" spans="1:11">
      <c r="G5" s="224" t="s">
        <v>207</v>
      </c>
      <c r="H5" s="225"/>
      <c r="I5" s="225"/>
      <c r="J5" s="225"/>
      <c r="K5" s="225"/>
    </row>
    <row r="6" spans="1:11" ht="9.1999999999999993" customHeight="1"/>
    <row r="7" spans="1:11" ht="10.5" customHeight="1" thickBot="1"/>
    <row r="8" spans="1:11" ht="15">
      <c r="A8" s="23" t="s">
        <v>1</v>
      </c>
      <c r="B8" s="24"/>
      <c r="C8" s="24"/>
      <c r="D8" s="24"/>
      <c r="E8" s="11"/>
      <c r="F8" s="12"/>
      <c r="G8" s="184" t="s">
        <v>208</v>
      </c>
      <c r="H8" s="185"/>
      <c r="I8" s="185"/>
      <c r="J8" s="186"/>
    </row>
    <row r="9" spans="1:11" ht="5.45" customHeight="1">
      <c r="A9" s="13"/>
      <c r="F9" s="6"/>
      <c r="G9" s="187"/>
      <c r="H9" s="188"/>
      <c r="I9" s="188"/>
      <c r="J9" s="189"/>
    </row>
    <row r="10" spans="1:11" ht="13.5" customHeight="1">
      <c r="A10" s="75" t="s">
        <v>2</v>
      </c>
      <c r="B10" s="2"/>
      <c r="C10" s="2"/>
      <c r="D10" s="2"/>
      <c r="E10" s="2"/>
      <c r="F10" s="10"/>
      <c r="G10" s="187"/>
      <c r="H10" s="188"/>
      <c r="I10" s="188"/>
      <c r="J10" s="189"/>
    </row>
    <row r="11" spans="1:11" ht="13.5" customHeight="1">
      <c r="A11" s="73" t="s">
        <v>128</v>
      </c>
      <c r="B11" s="1"/>
      <c r="C11" s="1"/>
      <c r="D11" s="1"/>
      <c r="E11" s="1"/>
      <c r="F11" s="74"/>
      <c r="G11" s="190" t="s">
        <v>4</v>
      </c>
      <c r="H11" s="191"/>
      <c r="I11" s="194" t="s">
        <v>5</v>
      </c>
      <c r="J11" s="179"/>
    </row>
    <row r="12" spans="1:11" ht="15">
      <c r="A12" s="73" t="s">
        <v>200</v>
      </c>
      <c r="B12" s="1"/>
      <c r="C12" s="1"/>
      <c r="D12" s="1"/>
      <c r="E12" s="1"/>
      <c r="F12" s="74"/>
      <c r="G12" s="192"/>
      <c r="H12" s="193"/>
      <c r="I12" s="195"/>
      <c r="J12" s="196"/>
    </row>
    <row r="13" spans="1:11" ht="15">
      <c r="A13" s="73" t="s">
        <v>6</v>
      </c>
      <c r="B13" s="1"/>
      <c r="C13" s="1"/>
      <c r="D13" s="1"/>
      <c r="E13" s="201"/>
      <c r="F13" s="202"/>
      <c r="G13" s="197" t="s">
        <v>7</v>
      </c>
      <c r="H13" s="198"/>
      <c r="I13" s="199" t="s">
        <v>8</v>
      </c>
      <c r="J13" s="200"/>
    </row>
    <row r="14" spans="1:11" ht="15">
      <c r="A14" s="73" t="s">
        <v>9</v>
      </c>
      <c r="B14" s="1"/>
      <c r="E14" s="203"/>
      <c r="F14" s="204"/>
      <c r="G14" s="177" t="s">
        <v>10</v>
      </c>
      <c r="H14" s="178"/>
      <c r="I14" s="178"/>
      <c r="J14" s="179"/>
    </row>
    <row r="15" spans="1:11" ht="13.5" customHeight="1">
      <c r="A15" s="15"/>
      <c r="B15" s="7"/>
      <c r="C15" s="7"/>
      <c r="D15" s="7"/>
      <c r="E15" s="76"/>
      <c r="F15" s="8"/>
      <c r="G15" s="207" t="s">
        <v>11</v>
      </c>
      <c r="H15" s="208"/>
      <c r="I15" s="208"/>
      <c r="J15" s="209"/>
    </row>
    <row r="16" spans="1:11" ht="15">
      <c r="A16" s="28" t="s">
        <v>12</v>
      </c>
      <c r="B16" s="29"/>
      <c r="C16" s="29"/>
      <c r="D16" s="29"/>
      <c r="E16" s="3"/>
      <c r="F16" s="4"/>
      <c r="G16" s="182"/>
      <c r="H16" s="210"/>
      <c r="I16" s="210"/>
      <c r="J16" s="211"/>
    </row>
    <row r="17" spans="1:10" ht="13.5" hidden="1" customHeight="1">
      <c r="A17" s="16"/>
      <c r="B17" s="89"/>
      <c r="F17" s="6"/>
      <c r="G17" s="182"/>
      <c r="H17" s="210"/>
      <c r="I17" s="210"/>
      <c r="J17" s="211"/>
    </row>
    <row r="18" spans="1:10" ht="6" customHeight="1">
      <c r="A18" s="16"/>
      <c r="B18" s="89"/>
      <c r="F18" s="6"/>
      <c r="G18" s="182"/>
      <c r="H18" s="210"/>
      <c r="I18" s="210"/>
      <c r="J18" s="211"/>
    </row>
    <row r="19" spans="1:10" ht="18.75">
      <c r="A19" s="75" t="s">
        <v>13</v>
      </c>
      <c r="B19" s="1"/>
      <c r="C19" s="1"/>
      <c r="D19" s="1"/>
      <c r="F19" s="6"/>
      <c r="G19" s="212"/>
      <c r="H19" s="213"/>
      <c r="I19" s="213"/>
      <c r="J19" s="214"/>
    </row>
    <row r="20" spans="1:10" ht="15">
      <c r="A20" s="73" t="s">
        <v>14</v>
      </c>
      <c r="B20" s="1"/>
      <c r="C20" s="1"/>
      <c r="D20" s="1"/>
      <c r="F20" s="6"/>
      <c r="G20" s="5" t="s">
        <v>15</v>
      </c>
      <c r="I20" s="37"/>
      <c r="J20" s="14"/>
    </row>
    <row r="21" spans="1:10" ht="15">
      <c r="A21" s="73" t="s">
        <v>16</v>
      </c>
      <c r="B21" s="1"/>
      <c r="C21" s="1"/>
      <c r="D21" s="1"/>
      <c r="F21" s="6"/>
      <c r="G21" s="5"/>
      <c r="J21" s="14"/>
    </row>
    <row r="22" spans="1:10" ht="15" customHeight="1">
      <c r="A22" s="215" t="s">
        <v>17</v>
      </c>
      <c r="B22" s="216"/>
      <c r="C22" s="216"/>
      <c r="D22" s="96"/>
      <c r="E22" s="205"/>
      <c r="F22" s="206"/>
      <c r="G22" s="82" t="s">
        <v>18</v>
      </c>
      <c r="H22" t="s">
        <v>19</v>
      </c>
      <c r="J22" s="14"/>
    </row>
    <row r="23" spans="1:10" ht="15" customHeight="1">
      <c r="A23" s="215" t="s">
        <v>20</v>
      </c>
      <c r="B23" s="216"/>
      <c r="C23" s="216"/>
      <c r="D23" s="96"/>
      <c r="E23" s="205"/>
      <c r="F23" s="206"/>
      <c r="G23" s="81"/>
      <c r="H23" t="s">
        <v>21</v>
      </c>
      <c r="I23" s="6"/>
      <c r="J23" s="14"/>
    </row>
    <row r="24" spans="1:10" ht="4.5" customHeight="1">
      <c r="A24" s="35"/>
      <c r="B24" s="36"/>
      <c r="C24" s="226"/>
      <c r="D24" s="226"/>
      <c r="E24" s="226"/>
      <c r="F24" s="8"/>
      <c r="J24" s="14"/>
    </row>
    <row r="25" spans="1:10" ht="18.75">
      <c r="A25" s="229" t="s">
        <v>22</v>
      </c>
      <c r="B25" s="230"/>
      <c r="C25" s="230"/>
      <c r="D25" s="230"/>
      <c r="E25" s="230"/>
      <c r="F25" s="227" t="s">
        <v>58</v>
      </c>
      <c r="G25" s="81"/>
      <c r="H25" t="s">
        <v>23</v>
      </c>
      <c r="J25" s="14"/>
    </row>
    <row r="26" spans="1:10" ht="11.25" customHeight="1">
      <c r="A26" s="231"/>
      <c r="B26" s="232"/>
      <c r="C26" s="232"/>
      <c r="D26" s="232"/>
      <c r="E26" s="232"/>
      <c r="F26" s="227"/>
      <c r="G26" s="81"/>
      <c r="H26" s="102" t="s">
        <v>123</v>
      </c>
      <c r="J26" s="14"/>
    </row>
    <row r="27" spans="1:10" ht="13.5" customHeight="1">
      <c r="A27" s="233"/>
      <c r="B27" s="234"/>
      <c r="C27" s="234"/>
      <c r="D27" s="234"/>
      <c r="E27" s="234"/>
      <c r="F27" s="227"/>
      <c r="G27" s="81"/>
      <c r="H27" t="s">
        <v>25</v>
      </c>
      <c r="J27" s="14"/>
    </row>
    <row r="28" spans="1:10" ht="6" customHeight="1" thickBot="1">
      <c r="A28" s="235"/>
      <c r="B28" s="236"/>
      <c r="C28" s="236"/>
      <c r="D28" s="236"/>
      <c r="E28" s="236"/>
      <c r="F28" s="228"/>
      <c r="G28" s="17"/>
      <c r="H28" s="17"/>
      <c r="I28" s="17"/>
      <c r="J28" s="18"/>
    </row>
    <row r="29" spans="1:10" ht="14.25" thickBot="1">
      <c r="A29" s="13"/>
      <c r="J29" s="14"/>
    </row>
    <row r="30" spans="1:10" ht="13.5" customHeight="1">
      <c r="A30" s="217" t="s">
        <v>26</v>
      </c>
      <c r="B30" s="237" t="s">
        <v>27</v>
      </c>
      <c r="C30" s="181"/>
      <c r="D30" s="238" t="s">
        <v>122</v>
      </c>
      <c r="E30" s="170" t="s">
        <v>28</v>
      </c>
      <c r="F30" s="220" t="s">
        <v>29</v>
      </c>
      <c r="G30" s="180" t="s">
        <v>30</v>
      </c>
      <c r="H30" s="181"/>
      <c r="I30" s="220" t="s">
        <v>31</v>
      </c>
      <c r="J30" s="221"/>
    </row>
    <row r="31" spans="1:10">
      <c r="A31" s="218"/>
      <c r="B31" s="210"/>
      <c r="C31" s="183"/>
      <c r="D31" s="239"/>
      <c r="E31" s="154"/>
      <c r="F31" s="222"/>
      <c r="G31" s="182"/>
      <c r="H31" s="183"/>
      <c r="I31" s="222"/>
      <c r="J31" s="223"/>
    </row>
    <row r="32" spans="1:10" ht="27.75" customHeight="1">
      <c r="A32" s="219"/>
      <c r="B32" s="210"/>
      <c r="C32" s="183"/>
      <c r="D32" s="239"/>
      <c r="E32" s="154"/>
      <c r="F32" s="222"/>
      <c r="G32" s="182"/>
      <c r="H32" s="183"/>
      <c r="I32" s="222"/>
      <c r="J32" s="223"/>
    </row>
    <row r="33" spans="1:10" ht="19.7" customHeight="1">
      <c r="A33" s="150"/>
      <c r="B33" s="153" t="s">
        <v>164</v>
      </c>
      <c r="C33" s="154"/>
      <c r="D33" s="107"/>
      <c r="E33" s="90" t="str">
        <f>VLOOKUP(B33,データ!$B$3:$L$85,11,FALSE)</f>
        <v>m</v>
      </c>
      <c r="F33" s="126">
        <v>4000</v>
      </c>
      <c r="G33" s="155">
        <f>VLOOKUP(B33,データ!$B$3:$C$85,2,FALSE)</f>
        <v>0.61</v>
      </c>
      <c r="H33" s="155"/>
      <c r="I33" s="151">
        <f>IFERROR(G33*F33, "")</f>
        <v>2440</v>
      </c>
      <c r="J33" s="152"/>
    </row>
    <row r="34" spans="1:10" ht="19.7" customHeight="1">
      <c r="A34" s="150"/>
      <c r="B34" s="153" t="s">
        <v>113</v>
      </c>
      <c r="C34" s="154"/>
      <c r="D34" s="107"/>
      <c r="E34" s="90" t="str">
        <f>VLOOKUP(B34,データ!$B$3:$L$85,11,FALSE)</f>
        <v>pcs</v>
      </c>
      <c r="F34" s="126">
        <v>11000</v>
      </c>
      <c r="G34" s="155">
        <f>VLOOKUP(B34,データ!$B$3:$C$85,2,FALSE)</f>
        <v>0.223</v>
      </c>
      <c r="H34" s="155"/>
      <c r="I34" s="151">
        <f t="shared" ref="I34:I52" si="0">IFERROR(G34*F34, "")</f>
        <v>2453</v>
      </c>
      <c r="J34" s="152"/>
    </row>
    <row r="35" spans="1:10" ht="19.7" customHeight="1">
      <c r="A35" s="150"/>
      <c r="B35" s="153" t="s">
        <v>184</v>
      </c>
      <c r="C35" s="154"/>
      <c r="D35" s="107"/>
      <c r="E35" s="90" t="str">
        <f>VLOOKUP(B35,データ!$B$3:$L$85,11,FALSE)</f>
        <v>pcs</v>
      </c>
      <c r="F35" s="122">
        <v>6000</v>
      </c>
      <c r="G35" s="155">
        <f>VLOOKUP(B35,データ!$B$3:$C$85,2,FALSE)</f>
        <v>0.21299999999999999</v>
      </c>
      <c r="H35" s="155"/>
      <c r="I35" s="151">
        <f t="shared" si="0"/>
        <v>1278</v>
      </c>
      <c r="J35" s="152"/>
    </row>
    <row r="36" spans="1:10" ht="19.7" customHeight="1">
      <c r="A36" s="148"/>
      <c r="B36" s="153" t="s">
        <v>185</v>
      </c>
      <c r="C36" s="154"/>
      <c r="D36" s="107"/>
      <c r="E36" s="90" t="str">
        <f>VLOOKUP(B36,データ!$B$3:$L$85,11,FALSE)</f>
        <v>pcs</v>
      </c>
      <c r="F36" s="122">
        <v>5000</v>
      </c>
      <c r="G36" s="155">
        <f>VLOOKUP(B36,データ!$B$3:$C$85,2,FALSE)</f>
        <v>0.223</v>
      </c>
      <c r="H36" s="155"/>
      <c r="I36" s="151">
        <f t="shared" si="0"/>
        <v>1115</v>
      </c>
      <c r="J36" s="152"/>
    </row>
    <row r="37" spans="1:10" ht="19.7" customHeight="1">
      <c r="A37" s="148"/>
      <c r="B37" s="153" t="s">
        <v>142</v>
      </c>
      <c r="C37" s="154"/>
      <c r="D37" s="121"/>
      <c r="E37" s="90" t="str">
        <f>VLOOKUP(B37,データ!$B$3:$L$85,11,FALSE)</f>
        <v>pcs</v>
      </c>
      <c r="F37" s="123">
        <v>11000</v>
      </c>
      <c r="G37" s="155">
        <f>VLOOKUP(B37,データ!$B$3:$C$85,2,FALSE)</f>
        <v>0.23499999999999999</v>
      </c>
      <c r="H37" s="155"/>
      <c r="I37" s="151">
        <f t="shared" si="0"/>
        <v>2585</v>
      </c>
      <c r="J37" s="152"/>
    </row>
    <row r="38" spans="1:10" ht="19.7" customHeight="1">
      <c r="A38" s="148"/>
      <c r="B38" s="153" t="s">
        <v>83</v>
      </c>
      <c r="C38" s="154"/>
      <c r="D38" s="107"/>
      <c r="E38" s="90" t="str">
        <f>VLOOKUP(B38,データ!$B$3:$L$85,11,FALSE)</f>
        <v>pcs</v>
      </c>
      <c r="F38" s="122">
        <v>5500</v>
      </c>
      <c r="G38" s="155">
        <f>VLOOKUP(B38,データ!$B$3:$C$85,2,FALSE)</f>
        <v>0.224</v>
      </c>
      <c r="H38" s="155"/>
      <c r="I38" s="151">
        <f t="shared" si="0"/>
        <v>1232</v>
      </c>
      <c r="J38" s="152"/>
    </row>
    <row r="39" spans="1:10" ht="19.7" customHeight="1">
      <c r="A39" s="148"/>
      <c r="B39" s="153" t="s">
        <v>183</v>
      </c>
      <c r="C39" s="154"/>
      <c r="D39" s="107"/>
      <c r="E39" s="90" t="str">
        <f>VLOOKUP(B39,データ!$B$3:$L$85,11,FALSE)</f>
        <v>pcs</v>
      </c>
      <c r="F39" s="122">
        <v>9000</v>
      </c>
      <c r="G39" s="155">
        <f>VLOOKUP(B39,データ!$B$3:$C$85,2,FALSE)</f>
        <v>0.251</v>
      </c>
      <c r="H39" s="155"/>
      <c r="I39" s="151">
        <f t="shared" si="0"/>
        <v>2259</v>
      </c>
      <c r="J39" s="152"/>
    </row>
    <row r="40" spans="1:10" ht="19.7" customHeight="1">
      <c r="A40" s="148"/>
      <c r="B40" s="153" t="s">
        <v>83</v>
      </c>
      <c r="C40" s="154"/>
      <c r="D40" s="107"/>
      <c r="E40" s="90" t="str">
        <f>VLOOKUP(B40,データ!$B$3:$L$85,11,FALSE)</f>
        <v>pcs</v>
      </c>
      <c r="F40" s="122">
        <v>5500</v>
      </c>
      <c r="G40" s="155">
        <f>VLOOKUP(B40,データ!$B$3:$C$85,2,FALSE)</f>
        <v>0.224</v>
      </c>
      <c r="H40" s="155"/>
      <c r="I40" s="151">
        <f t="shared" si="0"/>
        <v>1232</v>
      </c>
      <c r="J40" s="152"/>
    </row>
    <row r="41" spans="1:10" ht="19.7" customHeight="1">
      <c r="A41" s="148"/>
      <c r="B41" s="153" t="s">
        <v>83</v>
      </c>
      <c r="C41" s="154"/>
      <c r="D41" s="121"/>
      <c r="E41" s="90" t="str">
        <f>VLOOKUP(B41,データ!$B$3:$L$85,11,FALSE)</f>
        <v>pcs</v>
      </c>
      <c r="F41" s="122">
        <v>13500</v>
      </c>
      <c r="G41" s="155">
        <f>VLOOKUP(B41,データ!$B$3:$C$85,2,FALSE)</f>
        <v>0.224</v>
      </c>
      <c r="H41" s="155"/>
      <c r="I41" s="151">
        <f t="shared" si="0"/>
        <v>3024</v>
      </c>
      <c r="J41" s="152"/>
    </row>
    <row r="42" spans="1:10" ht="19.7" customHeight="1">
      <c r="A42" s="148"/>
      <c r="B42" s="153"/>
      <c r="C42" s="154"/>
      <c r="D42" s="116"/>
      <c r="E42" s="90" t="e">
        <f>VLOOKUP(B42,データ!$B$3:$L$85,11,FALSE)</f>
        <v>#N/A</v>
      </c>
      <c r="F42" s="122">
        <v>13000</v>
      </c>
      <c r="G42" s="155" t="e">
        <f>VLOOKUP(B42,データ!$B$3:$C$85,2,FALSE)</f>
        <v>#N/A</v>
      </c>
      <c r="H42" s="155"/>
      <c r="I42" s="151" t="str">
        <f t="shared" ref="I42:I48" si="1">IFERROR(G42*F42, "")</f>
        <v/>
      </c>
      <c r="J42" s="152"/>
    </row>
    <row r="43" spans="1:10" ht="19.7" customHeight="1">
      <c r="A43" s="148"/>
      <c r="B43" s="153"/>
      <c r="C43" s="154"/>
      <c r="D43" s="116"/>
      <c r="E43" s="90" t="e">
        <f>VLOOKUP(B43,データ!$B$3:$DH$185,11,FALSE)</f>
        <v>#N/A</v>
      </c>
      <c r="F43" s="123">
        <v>7</v>
      </c>
      <c r="G43" s="155" t="e">
        <f>VLOOKUP(B43,データ!$B$3:$C$185,2,FALSE)</f>
        <v>#N/A</v>
      </c>
      <c r="H43" s="155"/>
      <c r="I43" s="151" t="str">
        <f t="shared" si="1"/>
        <v/>
      </c>
      <c r="J43" s="152"/>
    </row>
    <row r="44" spans="1:10" ht="19.7" customHeight="1">
      <c r="A44" s="148"/>
      <c r="B44" s="153"/>
      <c r="C44" s="154"/>
      <c r="D44" s="116"/>
      <c r="E44" s="90" t="e">
        <f>VLOOKUP(B44,データ!$B$3:$L$85,11,FALSE)</f>
        <v>#N/A</v>
      </c>
      <c r="F44" s="122">
        <v>12000</v>
      </c>
      <c r="G44" s="155" t="e">
        <f>VLOOKUP(B44,データ!$B$3:$C$85,2,FALSE)</f>
        <v>#N/A</v>
      </c>
      <c r="H44" s="155"/>
      <c r="I44" s="151" t="str">
        <f t="shared" si="1"/>
        <v/>
      </c>
      <c r="J44" s="152"/>
    </row>
    <row r="45" spans="1:10" ht="19.7" customHeight="1">
      <c r="A45" s="149"/>
      <c r="B45" s="153"/>
      <c r="C45" s="154"/>
      <c r="D45" s="116"/>
      <c r="E45" s="90" t="e">
        <f>VLOOKUP(B45,データ!$B$3:$L$85,11,FALSE)</f>
        <v>#N/A</v>
      </c>
      <c r="F45" s="126">
        <v>240</v>
      </c>
      <c r="G45" s="155" t="e">
        <f>VLOOKUP(B45,データ!$B$3:$C$85,2,FALSE)</f>
        <v>#N/A</v>
      </c>
      <c r="H45" s="155"/>
      <c r="I45" s="151" t="str">
        <f t="shared" si="1"/>
        <v/>
      </c>
      <c r="J45" s="152"/>
    </row>
    <row r="46" spans="1:10" ht="19.7" customHeight="1">
      <c r="A46" s="148"/>
      <c r="B46" s="153"/>
      <c r="C46" s="154"/>
      <c r="D46" s="116"/>
      <c r="E46" s="90" t="e">
        <f>VLOOKUP(B46,データ!$B$3:$L$85,11,FALSE)</f>
        <v>#N/A</v>
      </c>
      <c r="F46" s="122">
        <v>13000</v>
      </c>
      <c r="G46" s="155" t="e">
        <f>VLOOKUP(B46,データ!$B$3:$C$85,2,FALSE)</f>
        <v>#N/A</v>
      </c>
      <c r="H46" s="155"/>
      <c r="I46" s="151" t="str">
        <f t="shared" si="1"/>
        <v/>
      </c>
      <c r="J46" s="152"/>
    </row>
    <row r="47" spans="1:10" ht="19.7" customHeight="1">
      <c r="A47" s="148"/>
      <c r="B47" s="153"/>
      <c r="C47" s="154"/>
      <c r="D47" s="116"/>
      <c r="E47" s="90" t="e">
        <f>VLOOKUP(B47,データ!$B$3:$DH$185,11,FALSE)</f>
        <v>#N/A</v>
      </c>
      <c r="F47" s="123">
        <v>7</v>
      </c>
      <c r="G47" s="155" t="e">
        <f>VLOOKUP(B47,データ!$B$3:$C$185,2,FALSE)</f>
        <v>#N/A</v>
      </c>
      <c r="H47" s="155"/>
      <c r="I47" s="151" t="str">
        <f t="shared" si="1"/>
        <v/>
      </c>
      <c r="J47" s="152"/>
    </row>
    <row r="48" spans="1:10" ht="19.7" customHeight="1">
      <c r="A48" s="148"/>
      <c r="B48" s="153"/>
      <c r="C48" s="154"/>
      <c r="D48" s="116"/>
      <c r="E48" s="90" t="e">
        <f>VLOOKUP(B48,データ!$B$3:$L$85,11,FALSE)</f>
        <v>#N/A</v>
      </c>
      <c r="F48" s="122">
        <v>12000</v>
      </c>
      <c r="G48" s="155" t="e">
        <f>VLOOKUP(B48,データ!$B$3:$C$85,2,FALSE)</f>
        <v>#N/A</v>
      </c>
      <c r="H48" s="155"/>
      <c r="I48" s="151" t="str">
        <f t="shared" si="1"/>
        <v/>
      </c>
      <c r="J48" s="152"/>
    </row>
    <row r="49" spans="1:10" ht="19.7" customHeight="1">
      <c r="A49" s="148"/>
      <c r="B49" s="153"/>
      <c r="C49" s="154"/>
      <c r="D49" s="116"/>
      <c r="E49" s="90" t="e">
        <f>VLOOKUP(B49,データ!$B$3:$L$85,11,FALSE)</f>
        <v>#N/A</v>
      </c>
      <c r="F49" s="122">
        <v>13000</v>
      </c>
      <c r="G49" s="155" t="e">
        <f>VLOOKUP(B49,データ!$B$3:$C$85,2,FALSE)</f>
        <v>#N/A</v>
      </c>
      <c r="H49" s="155"/>
      <c r="I49" s="151" t="str">
        <f t="shared" si="0"/>
        <v/>
      </c>
      <c r="J49" s="152"/>
    </row>
    <row r="50" spans="1:10" ht="19.7" customHeight="1">
      <c r="A50" s="148"/>
      <c r="B50" s="153"/>
      <c r="C50" s="154"/>
      <c r="D50" s="116"/>
      <c r="E50" s="90" t="e">
        <f>VLOOKUP(B50,データ!$B$3:$DH$185,11,FALSE)</f>
        <v>#N/A</v>
      </c>
      <c r="F50" s="123">
        <v>7</v>
      </c>
      <c r="G50" s="155" t="e">
        <f>VLOOKUP(B50,データ!$B$3:$C$185,2,FALSE)</f>
        <v>#N/A</v>
      </c>
      <c r="H50" s="155"/>
      <c r="I50" s="151" t="str">
        <f t="shared" si="0"/>
        <v/>
      </c>
      <c r="J50" s="152"/>
    </row>
    <row r="51" spans="1:10" ht="19.7" customHeight="1">
      <c r="A51" s="148"/>
      <c r="B51" s="153"/>
      <c r="C51" s="154"/>
      <c r="D51" s="116"/>
      <c r="E51" s="90" t="e">
        <f>VLOOKUP(B51,データ!$B$3:$L$85,11,FALSE)</f>
        <v>#N/A</v>
      </c>
      <c r="F51" s="122">
        <v>12000</v>
      </c>
      <c r="G51" s="155" t="e">
        <f>VLOOKUP(B51,データ!$B$3:$C$85,2,FALSE)</f>
        <v>#N/A</v>
      </c>
      <c r="H51" s="155"/>
      <c r="I51" s="151" t="str">
        <f t="shared" si="0"/>
        <v/>
      </c>
      <c r="J51" s="152"/>
    </row>
    <row r="52" spans="1:10" ht="19.7" customHeight="1">
      <c r="A52" s="149"/>
      <c r="B52" s="153"/>
      <c r="C52" s="154"/>
      <c r="D52" s="116"/>
      <c r="E52" s="90" t="e">
        <f>VLOOKUP(B52,データ!$B$3:$L$85,11,FALSE)</f>
        <v>#N/A</v>
      </c>
      <c r="F52" s="126">
        <v>240</v>
      </c>
      <c r="G52" s="155" t="e">
        <f>VLOOKUP(B52,データ!$B$3:$C$85,2,FALSE)</f>
        <v>#N/A</v>
      </c>
      <c r="H52" s="155"/>
      <c r="I52" s="151" t="str">
        <f t="shared" si="0"/>
        <v/>
      </c>
      <c r="J52" s="152"/>
    </row>
    <row r="53" spans="1:10" ht="19.7" customHeight="1">
      <c r="A53" s="160" t="s">
        <v>33</v>
      </c>
      <c r="B53" s="161"/>
      <c r="C53" s="161"/>
      <c r="D53" s="161"/>
      <c r="E53" s="161"/>
      <c r="F53" s="164"/>
      <c r="G53" s="165"/>
      <c r="H53" s="166"/>
      <c r="I53" s="156">
        <f>SUM(I33:K52)</f>
        <v>17618</v>
      </c>
      <c r="J53" s="157"/>
    </row>
    <row r="54" spans="1:10" ht="24.75" customHeight="1" thickBot="1">
      <c r="A54" s="162"/>
      <c r="B54" s="163"/>
      <c r="C54" s="163"/>
      <c r="D54" s="163"/>
      <c r="E54" s="163"/>
      <c r="F54" s="167"/>
      <c r="G54" s="168"/>
      <c r="H54" s="169"/>
      <c r="I54" s="158"/>
      <c r="J54" s="159"/>
    </row>
    <row r="55" spans="1:10" ht="11.25" customHeight="1"/>
    <row r="56" spans="1:10" ht="20.100000000000001" customHeight="1">
      <c r="A56" s="174" t="s">
        <v>34</v>
      </c>
      <c r="B56" s="174"/>
      <c r="C56" s="174"/>
      <c r="D56" s="98"/>
      <c r="F56" s="106"/>
      <c r="G56" s="173" t="s">
        <v>35</v>
      </c>
      <c r="H56" s="173"/>
      <c r="I56" s="173"/>
      <c r="J56" s="64"/>
    </row>
    <row r="57" spans="1:10" ht="20.100000000000001" customHeight="1">
      <c r="A57" s="172" t="s">
        <v>119</v>
      </c>
      <c r="B57" s="172"/>
      <c r="C57" s="172"/>
      <c r="D57" s="99"/>
      <c r="E57" s="34"/>
      <c r="F57" s="34"/>
      <c r="G57" s="34"/>
      <c r="H57" s="34"/>
      <c r="I57" s="9"/>
    </row>
    <row r="58" spans="1:10" ht="20.100000000000001" customHeight="1">
      <c r="A58" s="171"/>
      <c r="B58" s="171"/>
      <c r="C58" s="171"/>
      <c r="D58" s="91"/>
      <c r="E58" s="34"/>
      <c r="F58" s="34"/>
      <c r="G58" s="34"/>
      <c r="H58" s="34"/>
    </row>
    <row r="59" spans="1:10" ht="20.100000000000001" customHeight="1">
      <c r="A59" s="175"/>
      <c r="B59" s="175"/>
      <c r="C59" s="175"/>
      <c r="D59" s="97"/>
      <c r="E59" s="34"/>
      <c r="F59" s="34"/>
      <c r="G59" s="34"/>
      <c r="H59" s="34"/>
    </row>
    <row r="60" spans="1:10" ht="20.100000000000001" customHeight="1">
      <c r="A60" s="171"/>
      <c r="B60" s="171"/>
      <c r="C60" s="171"/>
      <c r="D60" s="91"/>
      <c r="E60" s="34"/>
      <c r="F60" s="34"/>
      <c r="G60" s="34"/>
      <c r="H60" s="34"/>
    </row>
  </sheetData>
  <mergeCells count="95">
    <mergeCell ref="A23:C23"/>
    <mergeCell ref="E23:F23"/>
    <mergeCell ref="A1:K4"/>
    <mergeCell ref="G5:K5"/>
    <mergeCell ref="G8:J10"/>
    <mergeCell ref="G11:H12"/>
    <mergeCell ref="I11:J12"/>
    <mergeCell ref="E13:F13"/>
    <mergeCell ref="G13:H13"/>
    <mergeCell ref="I13:J13"/>
    <mergeCell ref="E14:F14"/>
    <mergeCell ref="G14:J14"/>
    <mergeCell ref="G15:J19"/>
    <mergeCell ref="A22:C22"/>
    <mergeCell ref="E22:F22"/>
    <mergeCell ref="B34:C34"/>
    <mergeCell ref="G34:H34"/>
    <mergeCell ref="I34:J34"/>
    <mergeCell ref="C24:E24"/>
    <mergeCell ref="A25:E25"/>
    <mergeCell ref="F25:F28"/>
    <mergeCell ref="A26:E28"/>
    <mergeCell ref="A30:A32"/>
    <mergeCell ref="B30:C32"/>
    <mergeCell ref="D30:D32"/>
    <mergeCell ref="E30:E32"/>
    <mergeCell ref="F30:F32"/>
    <mergeCell ref="G30:H32"/>
    <mergeCell ref="I30:J32"/>
    <mergeCell ref="B33:C33"/>
    <mergeCell ref="G33:H33"/>
    <mergeCell ref="I33:J33"/>
    <mergeCell ref="B35:C35"/>
    <mergeCell ref="G35:H35"/>
    <mergeCell ref="I35:J35"/>
    <mergeCell ref="B36:C36"/>
    <mergeCell ref="G36:H36"/>
    <mergeCell ref="I36:J36"/>
    <mergeCell ref="B37:C37"/>
    <mergeCell ref="G37:H37"/>
    <mergeCell ref="I37:J37"/>
    <mergeCell ref="B38:C38"/>
    <mergeCell ref="G38:H38"/>
    <mergeCell ref="I38:J38"/>
    <mergeCell ref="B39:C39"/>
    <mergeCell ref="G39:H39"/>
    <mergeCell ref="I39:J39"/>
    <mergeCell ref="B40:C40"/>
    <mergeCell ref="G40:H40"/>
    <mergeCell ref="I40:J40"/>
    <mergeCell ref="B41:C41"/>
    <mergeCell ref="G41:H41"/>
    <mergeCell ref="I41:J41"/>
    <mergeCell ref="B49:C49"/>
    <mergeCell ref="G49:H49"/>
    <mergeCell ref="I49:J49"/>
    <mergeCell ref="B42:C42"/>
    <mergeCell ref="G42:H42"/>
    <mergeCell ref="I42:J42"/>
    <mergeCell ref="B43:C43"/>
    <mergeCell ref="A57:C57"/>
    <mergeCell ref="A58:C58"/>
    <mergeCell ref="A59:C59"/>
    <mergeCell ref="A60:C60"/>
    <mergeCell ref="B52:C52"/>
    <mergeCell ref="A53:E54"/>
    <mergeCell ref="B45:C45"/>
    <mergeCell ref="G45:H45"/>
    <mergeCell ref="I45:J45"/>
    <mergeCell ref="A56:C56"/>
    <mergeCell ref="G56:I56"/>
    <mergeCell ref="G52:H52"/>
    <mergeCell ref="I52:J52"/>
    <mergeCell ref="F53:H54"/>
    <mergeCell ref="I53:J54"/>
    <mergeCell ref="B50:C50"/>
    <mergeCell ref="G50:H50"/>
    <mergeCell ref="I50:J50"/>
    <mergeCell ref="B51:C51"/>
    <mergeCell ref="G51:H51"/>
    <mergeCell ref="I51:J51"/>
    <mergeCell ref="G43:H43"/>
    <mergeCell ref="I43:J43"/>
    <mergeCell ref="B44:C44"/>
    <mergeCell ref="G44:H44"/>
    <mergeCell ref="I44:J44"/>
    <mergeCell ref="B48:C48"/>
    <mergeCell ref="G48:H48"/>
    <mergeCell ref="I48:J48"/>
    <mergeCell ref="B46:C46"/>
    <mergeCell ref="G46:H46"/>
    <mergeCell ref="I46:J46"/>
    <mergeCell ref="B47:C47"/>
    <mergeCell ref="G47:H47"/>
    <mergeCell ref="I47:J47"/>
  </mergeCells>
  <phoneticPr fontId="4"/>
  <pageMargins left="0.22" right="0" top="0.16" bottom="0" header="0.16" footer="0"/>
  <pageSetup paperSize="9" scale="85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8860D42-9B30-465F-98D0-64908A640804}">
          <x14:formula1>
            <xm:f>データ!$B$3:$B$112</xm:f>
          </x14:formula1>
          <xm:sqref>B50:C50 B43:C43 B47:C47</xm:sqref>
        </x14:dataValidation>
        <x14:dataValidation type="list" allowBlank="1" showInputMessage="1" showErrorMessage="1" xr:uid="{5C33DA74-8EBD-4A79-8750-7652C2991AF3}">
          <x14:formula1>
            <xm:f>データ!$B$3:$B$85</xm:f>
          </x14:formula1>
          <xm:sqref>B33:B34 B36:B37 B35:C35 B51:C52 B38:C42 B44:C46 B48:C49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DD97-DBB0-4157-9B8B-78D146674406}">
  <dimension ref="A1:R103"/>
  <sheetViews>
    <sheetView zoomScaleNormal="100" zoomScaleSheetLayoutView="115" workbookViewId="0">
      <selection sqref="A1:K4"/>
    </sheetView>
  </sheetViews>
  <sheetFormatPr defaultColWidth="9" defaultRowHeight="15"/>
  <cols>
    <col min="1" max="1" width="10.125" style="21" customWidth="1"/>
    <col min="2" max="2" width="9" style="21"/>
    <col min="3" max="3" width="33.625" style="21" customWidth="1"/>
    <col min="4" max="4" width="11.625" style="21" customWidth="1"/>
    <col min="5" max="5" width="10.375" style="21" customWidth="1"/>
    <col min="6" max="6" width="11.125" style="21" customWidth="1"/>
    <col min="7" max="7" width="7.75" style="21" customWidth="1"/>
    <col min="8" max="8" width="5.75" style="21" customWidth="1"/>
    <col min="9" max="9" width="11.375" style="21" customWidth="1"/>
    <col min="10" max="10" width="10" style="21" customWidth="1"/>
    <col min="11" max="11" width="11.75" style="21" bestFit="1" customWidth="1"/>
    <col min="12" max="12" width="12.25" style="21" bestFit="1" customWidth="1"/>
    <col min="13" max="13" width="11.875" style="21" bestFit="1" customWidth="1"/>
    <col min="14" max="14" width="9" style="21" bestFit="1" customWidth="1"/>
    <col min="15" max="15" width="3.75" style="21" bestFit="1" customWidth="1"/>
    <col min="16" max="16" width="5.5" style="21" bestFit="1" customWidth="1"/>
    <col min="17" max="17" width="9" style="21"/>
    <col min="18" max="18" width="10" style="21" bestFit="1" customWidth="1"/>
    <col min="19" max="16384" width="9" style="21"/>
  </cols>
  <sheetData>
    <row r="1" spans="1:11" ht="15" customHeight="1">
      <c r="A1" s="255" t="s">
        <v>36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</row>
    <row r="2" spans="1:11" ht="7.5" customHeight="1">
      <c r="A2" s="255"/>
      <c r="B2" s="255"/>
      <c r="C2" s="255"/>
      <c r="D2" s="255"/>
      <c r="E2" s="255"/>
      <c r="F2" s="255"/>
      <c r="G2" s="255"/>
      <c r="H2" s="255"/>
      <c r="I2" s="255"/>
      <c r="J2" s="255"/>
      <c r="K2" s="255"/>
    </row>
    <row r="3" spans="1:11" ht="9.75" customHeight="1">
      <c r="A3" s="255"/>
      <c r="B3" s="255"/>
      <c r="C3" s="255"/>
      <c r="D3" s="255"/>
      <c r="E3" s="255"/>
      <c r="F3" s="255"/>
      <c r="G3" s="255"/>
      <c r="H3" s="255"/>
      <c r="I3" s="255"/>
      <c r="J3" s="255"/>
      <c r="K3" s="255"/>
    </row>
    <row r="4" spans="1:11" ht="12.75" hidden="1" customHeight="1">
      <c r="A4" s="255"/>
      <c r="B4" s="255"/>
      <c r="C4" s="255"/>
      <c r="D4" s="255"/>
      <c r="E4" s="255"/>
      <c r="F4" s="255"/>
      <c r="G4" s="255"/>
      <c r="H4" s="255"/>
      <c r="I4" s="255"/>
      <c r="J4" s="255"/>
      <c r="K4" s="255"/>
    </row>
    <row r="5" spans="1:11">
      <c r="H5" s="277" t="str">
        <f>INVOICE!G5</f>
        <v>インボイス作成日（Date): 5/12/2025</v>
      </c>
      <c r="I5" s="277"/>
      <c r="J5" s="277"/>
      <c r="K5" s="277"/>
    </row>
    <row r="7" spans="1:11" ht="9.75" customHeight="1" thickBot="1"/>
    <row r="8" spans="1:11" ht="14.25" customHeight="1">
      <c r="A8" s="23" t="s">
        <v>1</v>
      </c>
      <c r="B8" s="24"/>
      <c r="C8" s="24"/>
      <c r="D8" s="24"/>
      <c r="E8" s="24"/>
      <c r="F8" s="24"/>
      <c r="G8" s="45"/>
      <c r="H8" s="184" t="str">
        <f>INVOICE!G8</f>
        <v>Invoice No
MASUDA VN-JP 019/25</v>
      </c>
      <c r="I8" s="185"/>
      <c r="J8" s="185"/>
      <c r="K8" s="186"/>
    </row>
    <row r="9" spans="1:11" ht="9.75" customHeight="1">
      <c r="A9" s="25"/>
      <c r="G9" s="43"/>
      <c r="H9" s="187"/>
      <c r="I9" s="188"/>
      <c r="J9" s="188"/>
      <c r="K9" s="189"/>
    </row>
    <row r="10" spans="1:11" ht="12.75" customHeight="1">
      <c r="A10" s="75" t="s">
        <v>2</v>
      </c>
      <c r="B10" s="2"/>
      <c r="C10" s="2"/>
      <c r="D10" s="2"/>
      <c r="E10" s="2"/>
      <c r="F10" s="42"/>
      <c r="G10" s="43"/>
      <c r="H10" s="187"/>
      <c r="I10" s="188"/>
      <c r="J10" s="188"/>
      <c r="K10" s="189"/>
    </row>
    <row r="11" spans="1:11" ht="15" customHeight="1">
      <c r="A11" s="73" t="s">
        <v>3</v>
      </c>
      <c r="B11" s="1"/>
      <c r="C11" s="1"/>
      <c r="D11" s="1"/>
      <c r="E11" s="2"/>
      <c r="F11" s="19"/>
      <c r="G11" s="43"/>
      <c r="H11" s="246" t="s">
        <v>4</v>
      </c>
      <c r="I11" s="246"/>
      <c r="J11" s="244" t="s">
        <v>5</v>
      </c>
      <c r="K11" s="245"/>
    </row>
    <row r="12" spans="1:11">
      <c r="A12" s="73" t="s">
        <v>200</v>
      </c>
      <c r="B12" s="1"/>
      <c r="C12" s="1"/>
      <c r="D12" s="1"/>
      <c r="E12" s="2"/>
      <c r="F12" s="19"/>
      <c r="G12" s="43"/>
      <c r="H12" s="246"/>
      <c r="I12" s="246"/>
      <c r="J12" s="244"/>
      <c r="K12" s="245"/>
    </row>
    <row r="13" spans="1:11">
      <c r="A13" s="73" t="s">
        <v>6</v>
      </c>
      <c r="B13" s="1"/>
      <c r="C13" s="1"/>
      <c r="D13" s="1"/>
      <c r="E13" s="63"/>
      <c r="F13" s="93"/>
      <c r="G13" s="43"/>
      <c r="H13" s="247" t="s">
        <v>7</v>
      </c>
      <c r="I13" s="247"/>
      <c r="J13" s="247" t="s">
        <v>37</v>
      </c>
      <c r="K13" s="248"/>
    </row>
    <row r="14" spans="1:11">
      <c r="A14" s="73" t="s">
        <v>9</v>
      </c>
      <c r="B14" s="1"/>
      <c r="E14" s="41"/>
      <c r="F14" s="62"/>
      <c r="G14" s="43"/>
      <c r="H14" s="249" t="s">
        <v>10</v>
      </c>
      <c r="I14" s="249"/>
      <c r="J14" s="249"/>
      <c r="K14" s="250"/>
    </row>
    <row r="15" spans="1:11" ht="15" customHeight="1">
      <c r="A15" s="73"/>
      <c r="B15" s="1"/>
      <c r="E15" s="62"/>
      <c r="F15" s="62"/>
      <c r="G15" s="43"/>
      <c r="H15" s="257" t="s">
        <v>11</v>
      </c>
      <c r="I15" s="258"/>
      <c r="J15" s="258"/>
      <c r="K15" s="259"/>
    </row>
    <row r="16" spans="1:11" ht="17.25" customHeight="1">
      <c r="A16" s="26"/>
      <c r="B16" s="27"/>
      <c r="C16" s="27"/>
      <c r="D16" s="27"/>
      <c r="E16" s="27"/>
      <c r="F16" s="27"/>
      <c r="G16" s="44"/>
      <c r="H16" s="257"/>
      <c r="I16" s="258"/>
      <c r="J16" s="258"/>
      <c r="K16" s="259"/>
    </row>
    <row r="17" spans="1:18">
      <c r="A17" s="28" t="s">
        <v>12</v>
      </c>
      <c r="B17" s="29"/>
      <c r="C17" s="29"/>
      <c r="D17" s="29"/>
      <c r="E17" s="29"/>
      <c r="F17" s="29"/>
      <c r="G17" s="43"/>
      <c r="H17" s="260"/>
      <c r="I17" s="261"/>
      <c r="J17" s="261"/>
      <c r="K17" s="262"/>
    </row>
    <row r="18" spans="1:18" ht="15" hidden="1" customHeight="1">
      <c r="A18" s="30"/>
      <c r="G18" s="40"/>
      <c r="H18" s="27"/>
      <c r="I18" s="27"/>
      <c r="J18" s="39"/>
      <c r="K18" s="31"/>
    </row>
    <row r="19" spans="1:18" ht="6" customHeight="1">
      <c r="A19" s="30"/>
      <c r="G19" s="43"/>
      <c r="J19" s="29"/>
      <c r="K19" s="31"/>
    </row>
    <row r="20" spans="1:18" ht="18.75">
      <c r="A20" s="75" t="s">
        <v>38</v>
      </c>
      <c r="B20" s="1"/>
      <c r="C20" s="1"/>
      <c r="D20" s="1"/>
      <c r="G20" s="43"/>
      <c r="H20" s="21" t="s">
        <v>39</v>
      </c>
      <c r="K20" s="31"/>
    </row>
    <row r="21" spans="1:18">
      <c r="A21" s="73" t="s">
        <v>40</v>
      </c>
      <c r="B21" s="1"/>
      <c r="C21" s="1"/>
      <c r="D21" s="1"/>
      <c r="G21" s="43"/>
      <c r="K21" s="31"/>
    </row>
    <row r="22" spans="1:18">
      <c r="A22" s="73" t="s">
        <v>41</v>
      </c>
      <c r="B22" s="1"/>
      <c r="C22" s="1"/>
      <c r="D22" s="1"/>
      <c r="G22" s="43"/>
      <c r="H22" s="82" t="s">
        <v>18</v>
      </c>
      <c r="I22" t="s">
        <v>19</v>
      </c>
      <c r="K22" s="31"/>
    </row>
    <row r="23" spans="1:18">
      <c r="A23" s="215" t="s">
        <v>42</v>
      </c>
      <c r="B23" s="216"/>
      <c r="C23" s="216"/>
      <c r="D23" s="96"/>
      <c r="E23" s="63"/>
      <c r="F23" s="63"/>
      <c r="G23" s="43"/>
      <c r="H23" s="81"/>
      <c r="I23" t="s">
        <v>21</v>
      </c>
      <c r="K23" s="31"/>
    </row>
    <row r="24" spans="1:18">
      <c r="A24" s="265" t="s">
        <v>43</v>
      </c>
      <c r="B24" s="266"/>
      <c r="C24" s="266"/>
      <c r="D24" s="1"/>
      <c r="E24" s="63"/>
      <c r="F24" s="93"/>
      <c r="G24" s="43"/>
      <c r="H24"/>
      <c r="I24"/>
      <c r="K24" s="31"/>
    </row>
    <row r="25" spans="1:18" ht="12.75" customHeight="1">
      <c r="A25" s="35"/>
      <c r="B25" s="36"/>
      <c r="C25" s="226"/>
      <c r="D25" s="226"/>
      <c r="E25" s="226"/>
      <c r="F25" s="27"/>
      <c r="G25" s="44"/>
      <c r="H25" s="81"/>
      <c r="I25" t="s">
        <v>23</v>
      </c>
      <c r="K25" s="31"/>
    </row>
    <row r="26" spans="1:18" ht="18.75">
      <c r="A26" s="229" t="s">
        <v>22</v>
      </c>
      <c r="B26" s="230"/>
      <c r="C26" s="230"/>
      <c r="D26" s="230"/>
      <c r="E26" s="230"/>
      <c r="F26" s="278"/>
      <c r="G26" s="272" t="s">
        <v>58</v>
      </c>
      <c r="H26" s="81"/>
      <c r="I26" t="s">
        <v>24</v>
      </c>
      <c r="K26" s="31"/>
    </row>
    <row r="27" spans="1:18" ht="12.75" customHeight="1">
      <c r="A27" s="231"/>
      <c r="B27" s="232"/>
      <c r="C27" s="232"/>
      <c r="D27" s="232"/>
      <c r="E27" s="232"/>
      <c r="F27" s="269"/>
      <c r="G27" s="273"/>
      <c r="H27" s="81"/>
      <c r="I27" t="s">
        <v>25</v>
      </c>
      <c r="K27" s="31"/>
    </row>
    <row r="28" spans="1:18" ht="11.25" customHeight="1">
      <c r="A28" s="233"/>
      <c r="B28" s="234"/>
      <c r="C28" s="234"/>
      <c r="D28" s="234"/>
      <c r="E28" s="234"/>
      <c r="F28" s="270"/>
      <c r="G28" s="273"/>
      <c r="K28" s="31"/>
    </row>
    <row r="29" spans="1:18" ht="13.5" customHeight="1" thickBot="1">
      <c r="A29" s="235"/>
      <c r="B29" s="236"/>
      <c r="C29" s="236"/>
      <c r="D29" s="236"/>
      <c r="E29" s="236"/>
      <c r="F29" s="271"/>
      <c r="G29" s="274"/>
      <c r="H29" s="22"/>
      <c r="I29" s="22"/>
      <c r="J29" s="22"/>
      <c r="K29" s="32"/>
    </row>
    <row r="30" spans="1:18" ht="9.75" customHeight="1" thickBot="1">
      <c r="A30" s="91"/>
      <c r="B30" s="91"/>
      <c r="C30" s="91"/>
      <c r="D30" s="91"/>
      <c r="E30" s="91"/>
      <c r="F30" s="92"/>
    </row>
    <row r="31" spans="1:18" ht="15" customHeight="1">
      <c r="A31" s="217" t="s">
        <v>26</v>
      </c>
      <c r="B31" s="180" t="s">
        <v>27</v>
      </c>
      <c r="C31" s="181"/>
      <c r="D31" s="238" t="s">
        <v>122</v>
      </c>
      <c r="E31" s="170" t="s">
        <v>28</v>
      </c>
      <c r="F31" s="220" t="s">
        <v>29</v>
      </c>
      <c r="G31" s="180" t="s">
        <v>44</v>
      </c>
      <c r="H31" s="181"/>
      <c r="I31" s="263" t="s">
        <v>45</v>
      </c>
      <c r="J31" s="238" t="s">
        <v>46</v>
      </c>
      <c r="K31" s="251" t="s">
        <v>47</v>
      </c>
    </row>
    <row r="32" spans="1:18" ht="11.25" customHeight="1">
      <c r="A32" s="267"/>
      <c r="B32" s="182"/>
      <c r="C32" s="183"/>
      <c r="D32" s="239"/>
      <c r="E32" s="154"/>
      <c r="F32" s="222"/>
      <c r="G32" s="182"/>
      <c r="H32" s="183"/>
      <c r="I32" s="264"/>
      <c r="J32" s="254"/>
      <c r="K32" s="252"/>
      <c r="L32" s="56"/>
      <c r="M32" s="56"/>
      <c r="N32" s="56"/>
      <c r="O32" s="56"/>
      <c r="P32" s="56"/>
      <c r="Q32" s="56"/>
      <c r="R32" s="56"/>
    </row>
    <row r="33" spans="1:18">
      <c r="A33" s="267"/>
      <c r="B33" s="182"/>
      <c r="C33" s="183"/>
      <c r="D33" s="239"/>
      <c r="E33" s="154"/>
      <c r="F33" s="222"/>
      <c r="G33" s="182"/>
      <c r="H33" s="183"/>
      <c r="I33" s="264"/>
      <c r="J33" s="254"/>
      <c r="K33" s="252"/>
      <c r="L33" s="56"/>
      <c r="M33" s="57"/>
      <c r="N33" s="58"/>
      <c r="O33" s="59"/>
      <c r="P33" s="60"/>
      <c r="Q33" s="60"/>
      <c r="R33" s="60"/>
    </row>
    <row r="34" spans="1:18" ht="10.5" customHeight="1">
      <c r="A34" s="268"/>
      <c r="B34" s="182"/>
      <c r="C34" s="183"/>
      <c r="D34" s="276"/>
      <c r="E34" s="256"/>
      <c r="F34" s="275"/>
      <c r="G34" s="182"/>
      <c r="H34" s="183"/>
      <c r="I34" s="264"/>
      <c r="J34" s="254"/>
      <c r="K34" s="253"/>
      <c r="L34" s="56"/>
      <c r="M34" s="132"/>
      <c r="N34" s="101"/>
      <c r="O34" s="133"/>
      <c r="P34" s="134"/>
      <c r="Q34" s="60"/>
      <c r="R34" s="60"/>
    </row>
    <row r="35" spans="1:18" ht="21" customHeight="1">
      <c r="A35" s="148" t="str">
        <f>IF('INVOICE-20'!A33 &lt;&gt; "", 'INVOICE-20'!A33, "")</f>
        <v/>
      </c>
      <c r="B35" s="240" t="str">
        <f>'INVOICE-20'!B33</f>
        <v>TABLE EDGE MG23</v>
      </c>
      <c r="C35" s="241"/>
      <c r="D35" s="107"/>
      <c r="E35" s="108" t="str">
        <f>'INVOICE-20'!E33</f>
        <v>m</v>
      </c>
      <c r="F35" s="111">
        <f>'INVOICE-20'!F33</f>
        <v>4000</v>
      </c>
      <c r="G35" s="242"/>
      <c r="H35" s="243"/>
      <c r="I35" s="124" t="str">
        <f>IFERROR(ROUNDUP(F35/G35,0), "")</f>
        <v/>
      </c>
      <c r="J35" s="131"/>
      <c r="K35" s="113">
        <f>ROUND(N35+P35+20,2)</f>
        <v>20</v>
      </c>
      <c r="L35" s="56"/>
      <c r="M35" s="132"/>
      <c r="N35" s="135"/>
      <c r="O35" s="134"/>
      <c r="P35" s="132"/>
      <c r="Q35" s="60"/>
      <c r="R35" s="60"/>
    </row>
    <row r="36" spans="1:18" ht="21" customHeight="1">
      <c r="A36" s="148" t="str">
        <f>IF('INVOICE-20'!A34 &lt;&gt; "", 'INVOICE-20'!A34, "")</f>
        <v/>
      </c>
      <c r="B36" s="240" t="str">
        <f>'INVOICE-20'!B34</f>
        <v>PUROTEKUTA 55788-16110</v>
      </c>
      <c r="C36" s="241"/>
      <c r="D36" s="108"/>
      <c r="E36" s="108" t="str">
        <f>'INVOICE-20'!E34</f>
        <v>pcs</v>
      </c>
      <c r="F36" s="111">
        <f>'INVOICE-20'!F34</f>
        <v>11000</v>
      </c>
      <c r="G36" s="242"/>
      <c r="H36" s="243"/>
      <c r="I36" s="124" t="str">
        <f t="shared" ref="I36:I54" si="0">IFERROR(ROUNDUP(F36/G36,0), "")</f>
        <v/>
      </c>
      <c r="J36" s="131"/>
      <c r="K36" s="113">
        <f>ROUND(N36+P36,2)+10</f>
        <v>10</v>
      </c>
      <c r="L36" s="56"/>
      <c r="M36" s="132"/>
      <c r="N36" s="135"/>
      <c r="O36" s="134"/>
      <c r="P36" s="132"/>
      <c r="Q36" s="60"/>
      <c r="R36" s="60"/>
    </row>
    <row r="37" spans="1:18" ht="21" customHeight="1">
      <c r="A37" s="148" t="str">
        <f>IF('INVOICE-20'!A35 &lt;&gt; "", 'INVOICE-20'!A35, "")</f>
        <v/>
      </c>
      <c r="B37" s="240" t="str">
        <f>'INVOICE-20'!B35</f>
        <v>PUROTEKUTA 55788-52350</v>
      </c>
      <c r="C37" s="241"/>
      <c r="D37" s="108"/>
      <c r="E37" s="108" t="str">
        <f>'INVOICE-20'!E35</f>
        <v>pcs</v>
      </c>
      <c r="F37" s="111">
        <f>'INVOICE-20'!F35</f>
        <v>6000</v>
      </c>
      <c r="G37" s="242"/>
      <c r="H37" s="243"/>
      <c r="I37" s="124" t="str">
        <f t="shared" si="0"/>
        <v/>
      </c>
      <c r="J37" s="131"/>
      <c r="K37" s="113">
        <f>ROUND(N37+P37,2)+5</f>
        <v>5</v>
      </c>
      <c r="L37" s="56"/>
      <c r="M37" s="132"/>
      <c r="N37" s="135"/>
      <c r="O37" s="134"/>
      <c r="P37" s="132"/>
      <c r="Q37" s="60"/>
      <c r="R37" s="60"/>
    </row>
    <row r="38" spans="1:18" ht="21" customHeight="1">
      <c r="A38" s="148" t="str">
        <f>IF('INVOICE-20'!A36 &lt;&gt; "", 'INVOICE-20'!A36, "")</f>
        <v/>
      </c>
      <c r="B38" s="240" t="str">
        <f>'INVOICE-20'!B36</f>
        <v>PUROTEKUTA 55788-52360</v>
      </c>
      <c r="C38" s="241"/>
      <c r="D38" s="108"/>
      <c r="E38" s="108" t="str">
        <f>'INVOICE-20'!E36</f>
        <v>pcs</v>
      </c>
      <c r="F38" s="111">
        <f>'INVOICE-20'!F36</f>
        <v>5000</v>
      </c>
      <c r="G38" s="242"/>
      <c r="H38" s="243"/>
      <c r="I38" s="124" t="str">
        <f t="shared" si="0"/>
        <v/>
      </c>
      <c r="J38" s="131"/>
      <c r="K38" s="113">
        <f>ROUND(N38+P38,2)+5</f>
        <v>5</v>
      </c>
      <c r="L38" s="56"/>
      <c r="M38" s="132"/>
      <c r="N38" s="135"/>
      <c r="O38" s="134"/>
      <c r="P38" s="132"/>
      <c r="Q38" s="60"/>
      <c r="R38" s="60"/>
    </row>
    <row r="39" spans="1:18" ht="21" customHeight="1">
      <c r="A39" s="148" t="str">
        <f>IF('INVOICE-20'!A37 &lt;&gt; "", 'INVOICE-20'!A37, "")</f>
        <v/>
      </c>
      <c r="B39" s="240" t="str">
        <f>'INVOICE-20'!B37</f>
        <v>PUROTEKUTA 2A4P1-022G</v>
      </c>
      <c r="C39" s="241"/>
      <c r="D39" s="121"/>
      <c r="E39" s="108" t="str">
        <f>'INVOICE-20'!E37</f>
        <v>pcs</v>
      </c>
      <c r="F39" s="111">
        <f>'INVOICE-20'!F37</f>
        <v>11000</v>
      </c>
      <c r="G39" s="242"/>
      <c r="H39" s="243"/>
      <c r="I39" s="124" t="str">
        <f t="shared" si="0"/>
        <v/>
      </c>
      <c r="J39" s="131"/>
      <c r="K39" s="113">
        <f>ROUND(N39+P39,2)+10</f>
        <v>10</v>
      </c>
      <c r="L39" s="56"/>
      <c r="M39" s="132"/>
      <c r="N39" s="135"/>
      <c r="O39" s="134"/>
      <c r="P39" s="132"/>
      <c r="Q39" s="60"/>
      <c r="R39" s="60"/>
    </row>
    <row r="40" spans="1:18" ht="21" customHeight="1">
      <c r="A40" s="148" t="str">
        <f>IF('INVOICE-20'!A38 &lt;&gt; "", 'INVOICE-20'!A38, "")</f>
        <v/>
      </c>
      <c r="B40" s="240" t="str">
        <f>'INVOICE-20'!B38</f>
        <v>PUROTEKUTA 55788-K0060</v>
      </c>
      <c r="C40" s="241"/>
      <c r="E40" s="108" t="str">
        <f>'INVOICE-20'!E38</f>
        <v>pcs</v>
      </c>
      <c r="F40" s="111">
        <f>'INVOICE-20'!F38</f>
        <v>5500</v>
      </c>
      <c r="G40" s="242"/>
      <c r="H40" s="243"/>
      <c r="I40" s="124" t="str">
        <f t="shared" si="0"/>
        <v/>
      </c>
      <c r="J40" s="131"/>
      <c r="K40" s="113">
        <f t="shared" ref="K40:K54" si="1">ROUND(N40+P40,2)+10</f>
        <v>10</v>
      </c>
      <c r="L40" s="56"/>
      <c r="M40" s="132"/>
      <c r="N40" s="135"/>
      <c r="O40" s="134"/>
      <c r="P40" s="132"/>
      <c r="Q40" s="60"/>
      <c r="R40" s="60"/>
    </row>
    <row r="41" spans="1:18" ht="21" customHeight="1">
      <c r="A41" s="148" t="str">
        <f>IF('INVOICE-20'!A39 &lt;&gt; "", 'INVOICE-20'!A39, "")</f>
        <v/>
      </c>
      <c r="B41" s="240" t="str">
        <f>'INVOICE-20'!B39</f>
        <v>PUROTEKUTA 55788-48090</v>
      </c>
      <c r="C41" s="241"/>
      <c r="D41" s="108"/>
      <c r="E41" s="108" t="str">
        <f>'INVOICE-20'!E39</f>
        <v>pcs</v>
      </c>
      <c r="F41" s="111">
        <f>'INVOICE-20'!F39</f>
        <v>9000</v>
      </c>
      <c r="G41" s="242"/>
      <c r="H41" s="243"/>
      <c r="I41" s="124" t="str">
        <f t="shared" si="0"/>
        <v/>
      </c>
      <c r="J41" s="131"/>
      <c r="K41" s="113">
        <f t="shared" si="1"/>
        <v>10</v>
      </c>
      <c r="L41" s="56"/>
      <c r="M41" s="132"/>
      <c r="N41" s="135"/>
      <c r="O41" s="134"/>
      <c r="P41" s="132"/>
      <c r="Q41" s="60"/>
      <c r="R41" s="60"/>
    </row>
    <row r="42" spans="1:18" ht="21" customHeight="1">
      <c r="A42" s="148" t="str">
        <f>IF('INVOICE-20'!A40 &lt;&gt; "", 'INVOICE-20'!A40, "")</f>
        <v/>
      </c>
      <c r="B42" s="240" t="str">
        <f>'INVOICE-20'!B40</f>
        <v>PUROTEKUTA 55788-K0060</v>
      </c>
      <c r="C42" s="241"/>
      <c r="D42" s="108"/>
      <c r="E42" s="108" t="str">
        <f>'INVOICE-20'!E40</f>
        <v>pcs</v>
      </c>
      <c r="F42" s="111">
        <f>'INVOICE-20'!F40</f>
        <v>5500</v>
      </c>
      <c r="G42" s="242"/>
      <c r="H42" s="243"/>
      <c r="I42" s="124" t="str">
        <f t="shared" si="0"/>
        <v/>
      </c>
      <c r="J42" s="131"/>
      <c r="K42" s="113">
        <f t="shared" si="1"/>
        <v>10</v>
      </c>
      <c r="L42" s="132"/>
      <c r="M42" s="132"/>
      <c r="N42" s="135"/>
      <c r="O42" s="134"/>
      <c r="P42" s="132"/>
      <c r="Q42" s="60"/>
      <c r="R42" s="60"/>
    </row>
    <row r="43" spans="1:18" ht="21" customHeight="1">
      <c r="A43" s="148" t="str">
        <f>IF('INVOICE-20'!A41 &lt;&gt; "", 'INVOICE-20'!A41, "")</f>
        <v/>
      </c>
      <c r="B43" s="240" t="str">
        <f>'INVOICE-20'!B41</f>
        <v>PUROTEKUTA 55788-K0060</v>
      </c>
      <c r="C43" s="241"/>
      <c r="D43" s="108"/>
      <c r="E43" s="108" t="str">
        <f>'INVOICE-20'!E41</f>
        <v>pcs</v>
      </c>
      <c r="F43" s="111">
        <f>'INVOICE-20'!F41</f>
        <v>13500</v>
      </c>
      <c r="G43" s="242"/>
      <c r="H43" s="243"/>
      <c r="I43" s="124" t="str">
        <f t="shared" si="0"/>
        <v/>
      </c>
      <c r="J43" s="131"/>
      <c r="K43" s="113">
        <f t="shared" si="1"/>
        <v>10</v>
      </c>
      <c r="L43" s="132"/>
      <c r="M43" s="132"/>
      <c r="N43" s="135"/>
      <c r="O43" s="134"/>
      <c r="P43" s="132"/>
      <c r="Q43" s="60"/>
      <c r="R43" s="60"/>
    </row>
    <row r="44" spans="1:18" ht="21" customHeight="1">
      <c r="A44" s="148" t="str">
        <f>IF('INVOICE-20'!A42 &lt;&gt; "", 'INVOICE-20'!A42, "")</f>
        <v/>
      </c>
      <c r="B44" s="240">
        <f>'INVOICE-20'!B42</f>
        <v>0</v>
      </c>
      <c r="C44" s="241"/>
      <c r="D44" s="108"/>
      <c r="E44" s="108" t="e">
        <f>'INVOICE-20'!E42</f>
        <v>#N/A</v>
      </c>
      <c r="F44" s="111">
        <f>'INVOICE-20'!F42</f>
        <v>13000</v>
      </c>
      <c r="G44" s="242"/>
      <c r="H44" s="243"/>
      <c r="I44" s="124" t="str">
        <f t="shared" si="0"/>
        <v/>
      </c>
      <c r="J44" s="131"/>
      <c r="K44" s="113">
        <f t="shared" si="1"/>
        <v>10</v>
      </c>
      <c r="L44" s="132"/>
      <c r="M44" s="132"/>
      <c r="N44" s="135"/>
      <c r="O44" s="134"/>
      <c r="P44" s="132"/>
      <c r="Q44" s="60"/>
      <c r="R44" s="60"/>
    </row>
    <row r="45" spans="1:18" ht="21" customHeight="1">
      <c r="A45" s="148" t="str">
        <f>IF('INVOICE-20'!A43 &lt;&gt; "", 'INVOICE-20'!A43, "")</f>
        <v/>
      </c>
      <c r="B45" s="240">
        <f>'INVOICE-20'!B43</f>
        <v>0</v>
      </c>
      <c r="C45" s="241"/>
      <c r="D45" s="108"/>
      <c r="E45" s="108" t="e">
        <f>'INVOICE-20'!E43</f>
        <v>#N/A</v>
      </c>
      <c r="F45" s="111">
        <f>'INVOICE-20'!F43</f>
        <v>7</v>
      </c>
      <c r="G45" s="242"/>
      <c r="H45" s="243"/>
      <c r="I45" s="124" t="str">
        <f t="shared" si="0"/>
        <v/>
      </c>
      <c r="J45" s="131"/>
      <c r="K45" s="113">
        <f t="shared" si="1"/>
        <v>10</v>
      </c>
      <c r="L45" s="56"/>
      <c r="M45" s="132"/>
      <c r="N45" s="135"/>
      <c r="O45" s="134"/>
      <c r="P45" s="132"/>
      <c r="Q45" s="60"/>
      <c r="R45" s="60"/>
    </row>
    <row r="46" spans="1:18" ht="21" customHeight="1">
      <c r="A46" s="148" t="str">
        <f>IF('INVOICE-20'!A44 &lt;&gt; "", 'INVOICE-20'!A44, "")</f>
        <v/>
      </c>
      <c r="B46" s="240">
        <f>'INVOICE-20'!B44</f>
        <v>0</v>
      </c>
      <c r="C46" s="241"/>
      <c r="D46" s="108"/>
      <c r="E46" s="108" t="e">
        <f>'INVOICE-20'!E44</f>
        <v>#N/A</v>
      </c>
      <c r="F46" s="111">
        <f>'INVOICE-20'!F44</f>
        <v>12000</v>
      </c>
      <c r="G46" s="242"/>
      <c r="H46" s="243"/>
      <c r="I46" s="124" t="str">
        <f t="shared" si="0"/>
        <v/>
      </c>
      <c r="J46" s="131"/>
      <c r="K46" s="113">
        <f t="shared" si="1"/>
        <v>10</v>
      </c>
      <c r="L46" s="56"/>
      <c r="M46" s="132"/>
      <c r="N46" s="135"/>
      <c r="O46" s="134"/>
      <c r="P46" s="132"/>
      <c r="Q46" s="60"/>
      <c r="R46" s="60"/>
    </row>
    <row r="47" spans="1:18" ht="21" customHeight="1">
      <c r="A47" s="148" t="str">
        <f>IF('INVOICE-20'!A45 &lt;&gt; "", 'INVOICE-20'!A45, "")</f>
        <v/>
      </c>
      <c r="B47" s="240">
        <f>'INVOICE-20'!B45</f>
        <v>0</v>
      </c>
      <c r="C47" s="241"/>
      <c r="E47" s="108" t="e">
        <f>'INVOICE-20'!E45</f>
        <v>#N/A</v>
      </c>
      <c r="F47" s="111">
        <f>'INVOICE-20'!F45</f>
        <v>240</v>
      </c>
      <c r="G47" s="242"/>
      <c r="H47" s="243"/>
      <c r="I47" s="124" t="str">
        <f t="shared" si="0"/>
        <v/>
      </c>
      <c r="J47" s="131"/>
      <c r="K47" s="113">
        <f t="shared" si="1"/>
        <v>10</v>
      </c>
      <c r="L47" s="56"/>
      <c r="M47" s="132"/>
      <c r="N47" s="135"/>
      <c r="O47" s="134"/>
      <c r="P47" s="132"/>
      <c r="Q47" s="60"/>
      <c r="R47" s="60"/>
    </row>
    <row r="48" spans="1:18" ht="21" customHeight="1">
      <c r="A48" s="148" t="str">
        <f>IF('INVOICE-20'!A46 &lt;&gt; "", 'INVOICE-20'!A46, "")</f>
        <v/>
      </c>
      <c r="B48" s="240">
        <f>'INVOICE-20'!B46</f>
        <v>0</v>
      </c>
      <c r="C48" s="241"/>
      <c r="D48" s="108"/>
      <c r="E48" s="108" t="e">
        <f>'INVOICE-20'!E46</f>
        <v>#N/A</v>
      </c>
      <c r="F48" s="111">
        <f>'INVOICE-20'!F46</f>
        <v>13000</v>
      </c>
      <c r="G48" s="242"/>
      <c r="H48" s="243"/>
      <c r="I48" s="124" t="str">
        <f t="shared" si="0"/>
        <v/>
      </c>
      <c r="J48" s="131"/>
      <c r="K48" s="113">
        <f t="shared" si="1"/>
        <v>10</v>
      </c>
      <c r="L48" s="56"/>
      <c r="M48" s="132"/>
      <c r="N48" s="135"/>
      <c r="O48" s="134"/>
      <c r="P48" s="132"/>
      <c r="Q48" s="60"/>
      <c r="R48" s="60"/>
    </row>
    <row r="49" spans="1:18" ht="21" customHeight="1">
      <c r="A49" s="148" t="str">
        <f>IF('INVOICE-20'!A47 &lt;&gt; "", 'INVOICE-20'!A47, "")</f>
        <v/>
      </c>
      <c r="B49" s="240">
        <f>'INVOICE-20'!B47</f>
        <v>0</v>
      </c>
      <c r="C49" s="241"/>
      <c r="D49" s="108"/>
      <c r="E49" s="108" t="e">
        <f>'INVOICE-20'!E47</f>
        <v>#N/A</v>
      </c>
      <c r="F49" s="111">
        <f>'INVOICE-20'!F47</f>
        <v>7</v>
      </c>
      <c r="G49" s="242"/>
      <c r="H49" s="243"/>
      <c r="I49" s="124" t="str">
        <f t="shared" si="0"/>
        <v/>
      </c>
      <c r="J49" s="131"/>
      <c r="K49" s="113">
        <f t="shared" si="1"/>
        <v>10</v>
      </c>
      <c r="L49" s="132"/>
      <c r="M49" s="132"/>
      <c r="N49" s="135"/>
      <c r="O49" s="134"/>
      <c r="P49" s="132"/>
      <c r="Q49" s="60"/>
      <c r="R49" s="60"/>
    </row>
    <row r="50" spans="1:18" ht="21" customHeight="1">
      <c r="A50" s="148" t="str">
        <f>IF('INVOICE-20'!A48 &lt;&gt; "", 'INVOICE-20'!A48, "")</f>
        <v/>
      </c>
      <c r="B50" s="240">
        <f>'INVOICE-20'!B48</f>
        <v>0</v>
      </c>
      <c r="C50" s="241"/>
      <c r="D50" s="108"/>
      <c r="E50" s="108" t="e">
        <f>'INVOICE-20'!E48</f>
        <v>#N/A</v>
      </c>
      <c r="F50" s="111">
        <f>'INVOICE-20'!F48</f>
        <v>12000</v>
      </c>
      <c r="G50" s="242"/>
      <c r="H50" s="243"/>
      <c r="I50" s="124" t="str">
        <f t="shared" si="0"/>
        <v/>
      </c>
      <c r="J50" s="131"/>
      <c r="K50" s="113">
        <f t="shared" si="1"/>
        <v>10</v>
      </c>
      <c r="L50" s="132"/>
      <c r="M50" s="132"/>
      <c r="N50" s="135"/>
      <c r="O50" s="134"/>
      <c r="P50" s="132"/>
      <c r="Q50" s="60"/>
      <c r="R50" s="60"/>
    </row>
    <row r="51" spans="1:18" ht="21" customHeight="1">
      <c r="A51" s="148" t="str">
        <f>IF('INVOICE-20'!A49 &lt;&gt; "", 'INVOICE-20'!A49, "")</f>
        <v/>
      </c>
      <c r="B51" s="240">
        <f>'INVOICE-20'!B49</f>
        <v>0</v>
      </c>
      <c r="C51" s="241"/>
      <c r="D51" s="108"/>
      <c r="E51" s="108" t="e">
        <f>'INVOICE-20'!E49</f>
        <v>#N/A</v>
      </c>
      <c r="F51" s="111">
        <f>'INVOICE-20'!F49</f>
        <v>13000</v>
      </c>
      <c r="G51" s="242"/>
      <c r="H51" s="243"/>
      <c r="I51" s="124" t="str">
        <f t="shared" si="0"/>
        <v/>
      </c>
      <c r="J51" s="131"/>
      <c r="K51" s="113">
        <f t="shared" si="1"/>
        <v>10</v>
      </c>
      <c r="L51" s="132"/>
      <c r="M51" s="132"/>
      <c r="N51" s="135"/>
      <c r="O51" s="134"/>
      <c r="P51" s="132"/>
      <c r="Q51" s="60"/>
      <c r="R51" s="60"/>
    </row>
    <row r="52" spans="1:18" ht="21" customHeight="1">
      <c r="A52" s="148" t="str">
        <f>IF('INVOICE-20'!A50 &lt;&gt; "", 'INVOICE-20'!A50, "")</f>
        <v/>
      </c>
      <c r="B52" s="240">
        <f>'INVOICE-20'!B50</f>
        <v>0</v>
      </c>
      <c r="C52" s="241"/>
      <c r="D52" s="108"/>
      <c r="E52" s="108" t="e">
        <f>'INVOICE-20'!E50</f>
        <v>#N/A</v>
      </c>
      <c r="F52" s="111">
        <f>'INVOICE-20'!F50</f>
        <v>7</v>
      </c>
      <c r="G52" s="242"/>
      <c r="H52" s="243"/>
      <c r="I52" s="124" t="str">
        <f t="shared" si="0"/>
        <v/>
      </c>
      <c r="J52" s="131"/>
      <c r="K52" s="113">
        <f t="shared" si="1"/>
        <v>10</v>
      </c>
      <c r="L52" s="56"/>
      <c r="M52" s="132"/>
      <c r="N52" s="135"/>
      <c r="O52" s="134"/>
      <c r="P52" s="132"/>
      <c r="Q52" s="60"/>
      <c r="R52" s="60"/>
    </row>
    <row r="53" spans="1:18" ht="21" customHeight="1">
      <c r="A53" s="148" t="str">
        <f>IF('INVOICE-20'!A51 &lt;&gt; "", 'INVOICE-20'!A51, "")</f>
        <v/>
      </c>
      <c r="B53" s="240">
        <f>'INVOICE-20'!B51</f>
        <v>0</v>
      </c>
      <c r="C53" s="241"/>
      <c r="D53" s="108"/>
      <c r="E53" s="108" t="e">
        <f>'INVOICE-20'!E51</f>
        <v>#N/A</v>
      </c>
      <c r="F53" s="111">
        <f>'INVOICE-20'!F51</f>
        <v>12000</v>
      </c>
      <c r="G53" s="242"/>
      <c r="H53" s="243"/>
      <c r="I53" s="124" t="str">
        <f t="shared" si="0"/>
        <v/>
      </c>
      <c r="J53" s="131"/>
      <c r="K53" s="113">
        <f t="shared" si="1"/>
        <v>10</v>
      </c>
      <c r="L53" s="56"/>
      <c r="M53" s="132"/>
      <c r="N53" s="135"/>
      <c r="O53" s="134"/>
      <c r="P53" s="132"/>
      <c r="Q53" s="60"/>
      <c r="R53" s="60"/>
    </row>
    <row r="54" spans="1:18" ht="21" customHeight="1">
      <c r="A54" s="148" t="str">
        <f>IF('INVOICE-20'!A52 &lt;&gt; "", 'INVOICE-20'!A52, "")</f>
        <v/>
      </c>
      <c r="B54" s="240">
        <f>'INVOICE-20'!B52</f>
        <v>0</v>
      </c>
      <c r="C54" s="241"/>
      <c r="D54" s="125"/>
      <c r="E54" s="108" t="e">
        <f>'INVOICE-20'!E52</f>
        <v>#N/A</v>
      </c>
      <c r="F54" s="111">
        <f>'INVOICE-20'!F52</f>
        <v>240</v>
      </c>
      <c r="G54" s="242"/>
      <c r="H54" s="243"/>
      <c r="I54" s="124" t="str">
        <f t="shared" si="0"/>
        <v/>
      </c>
      <c r="J54" s="119"/>
      <c r="K54" s="113">
        <f t="shared" si="1"/>
        <v>10</v>
      </c>
      <c r="M54" s="132"/>
      <c r="N54" s="135"/>
      <c r="O54" s="134"/>
      <c r="P54" s="132"/>
      <c r="Q54" s="60"/>
      <c r="R54" s="60"/>
    </row>
    <row r="55" spans="1:18" ht="17.25" customHeight="1">
      <c r="A55" s="280" t="s">
        <v>141</v>
      </c>
      <c r="B55" s="203"/>
      <c r="C55" s="203"/>
      <c r="D55" s="203"/>
      <c r="E55" s="204"/>
      <c r="F55" s="285">
        <f>SUMIF(E35:E54,L42,F35:F54)</f>
        <v>0</v>
      </c>
      <c r="G55" s="287"/>
      <c r="H55" s="204"/>
      <c r="I55" s="295">
        <f>SUMIF(E35:E54,L42,I35:I54)+SUMIF(E35:E54,L44,I35:I54)</f>
        <v>0</v>
      </c>
      <c r="J55" s="290">
        <f>SUM(J35:J54)</f>
        <v>0</v>
      </c>
      <c r="K55" s="292">
        <f>SUM(K35:K54)</f>
        <v>200</v>
      </c>
      <c r="M55" s="132"/>
      <c r="N55" s="135"/>
      <c r="O55" s="1"/>
      <c r="P55" s="1"/>
    </row>
    <row r="56" spans="1:18" ht="3.75" customHeight="1">
      <c r="A56" s="281"/>
      <c r="B56" s="203"/>
      <c r="C56" s="203"/>
      <c r="D56" s="203"/>
      <c r="E56" s="204"/>
      <c r="F56" s="286"/>
      <c r="G56" s="287"/>
      <c r="H56" s="204"/>
      <c r="I56" s="296"/>
      <c r="J56" s="290"/>
      <c r="K56" s="292"/>
      <c r="M56" s="132"/>
      <c r="N56" s="101"/>
      <c r="O56" s="1"/>
      <c r="P56" s="1"/>
    </row>
    <row r="57" spans="1:18" ht="18" customHeight="1">
      <c r="A57" s="281"/>
      <c r="B57" s="203"/>
      <c r="C57" s="203"/>
      <c r="D57" s="203"/>
      <c r="E57" s="204"/>
      <c r="F57" s="129">
        <f>SUMIF(E35:E54,L43,F35:F54)</f>
        <v>0</v>
      </c>
      <c r="G57" s="287"/>
      <c r="H57" s="204"/>
      <c r="I57" s="297">
        <f>SUMIF(E35:E54,L43,I35:I54)</f>
        <v>0</v>
      </c>
      <c r="J57" s="290"/>
      <c r="K57" s="292"/>
      <c r="M57" s="1"/>
      <c r="N57" s="101"/>
      <c r="O57" s="1"/>
      <c r="P57" s="1"/>
    </row>
    <row r="58" spans="1:18" ht="21" customHeight="1" thickBot="1">
      <c r="A58" s="282"/>
      <c r="B58" s="283"/>
      <c r="C58" s="283"/>
      <c r="D58" s="283"/>
      <c r="E58" s="284"/>
      <c r="F58" s="130">
        <f>SUMIF(E35:E54,L44,F35:F54)</f>
        <v>0</v>
      </c>
      <c r="G58" s="288"/>
      <c r="H58" s="284"/>
      <c r="I58" s="298"/>
      <c r="J58" s="291"/>
      <c r="K58" s="293"/>
      <c r="M58" s="1"/>
      <c r="N58" s="101"/>
      <c r="O58" s="1"/>
      <c r="P58" s="1"/>
    </row>
    <row r="59" spans="1:18" ht="20.100000000000001" customHeight="1">
      <c r="A59" s="20" t="str">
        <f>'INVOICE-20'!A57</f>
        <v>CIF TO NAGOYA PORT</v>
      </c>
      <c r="B59" s="1"/>
      <c r="F59" s="94"/>
      <c r="I59" s="289"/>
      <c r="J59" s="203"/>
      <c r="M59" s="84"/>
      <c r="N59" s="57"/>
    </row>
    <row r="60" spans="1:18" ht="18" customHeight="1">
      <c r="A60" s="21" t="s">
        <v>50</v>
      </c>
      <c r="D60" s="104">
        <f>F55</f>
        <v>0</v>
      </c>
      <c r="E60" s="86">
        <f>F57</f>
        <v>0</v>
      </c>
      <c r="F60" s="94">
        <f>F58</f>
        <v>0</v>
      </c>
      <c r="I60" s="173" t="s">
        <v>35</v>
      </c>
      <c r="J60" s="173"/>
      <c r="K60" s="173"/>
      <c r="M60" s="95"/>
      <c r="N60" s="57"/>
    </row>
    <row r="61" spans="1:18" ht="20.100000000000001" customHeight="1">
      <c r="A61" s="21" t="s">
        <v>51</v>
      </c>
      <c r="D61" s="46">
        <f>K55</f>
        <v>200</v>
      </c>
      <c r="E61" s="110">
        <f>J55</f>
        <v>0</v>
      </c>
      <c r="F61" s="33"/>
      <c r="H61" s="33"/>
      <c r="I61" s="103"/>
      <c r="J61" s="55"/>
      <c r="K61" s="95"/>
      <c r="N61" s="92"/>
    </row>
    <row r="62" spans="1:18" ht="25.5" customHeight="1">
      <c r="A62" s="21" t="s">
        <v>53</v>
      </c>
      <c r="D62" s="61">
        <f>1.1*1.5*1.1*6+1.1*1.1*1.4+1.1*1.2*1.8*5+1.1*1.1*1</f>
        <v>25.674000000000007</v>
      </c>
      <c r="F62" s="84"/>
      <c r="N62" s="57"/>
    </row>
    <row r="63" spans="1:18" ht="20.100000000000001" customHeight="1">
      <c r="A63" s="21" t="s">
        <v>54</v>
      </c>
      <c r="C63" s="92"/>
      <c r="N63" s="57"/>
    </row>
    <row r="64" spans="1:18" ht="80.25" customHeight="1">
      <c r="A64" s="279"/>
      <c r="B64" s="279"/>
      <c r="C64" s="279"/>
      <c r="D64" s="100"/>
    </row>
    <row r="77" spans="5:12">
      <c r="E77" s="136"/>
      <c r="F77" s="136"/>
      <c r="G77" s="136"/>
      <c r="H77" s="136"/>
      <c r="I77" s="136"/>
      <c r="J77" s="136"/>
      <c r="K77" s="136"/>
    </row>
    <row r="78" spans="5:12">
      <c r="E78" s="136"/>
      <c r="F78" s="137"/>
      <c r="G78" s="138"/>
      <c r="H78" s="139"/>
      <c r="I78" s="140"/>
      <c r="J78" s="140"/>
      <c r="K78" s="140"/>
    </row>
    <row r="79" spans="5:12">
      <c r="E79" s="136"/>
      <c r="F79" s="137"/>
      <c r="G79" s="138"/>
      <c r="H79" s="139"/>
      <c r="I79" s="140"/>
      <c r="J79" s="140"/>
      <c r="K79" s="140"/>
      <c r="L79" s="52"/>
    </row>
    <row r="80" spans="5:12">
      <c r="E80" s="136"/>
      <c r="F80" s="137"/>
      <c r="G80" s="138"/>
      <c r="H80" s="139"/>
      <c r="I80" s="140"/>
      <c r="J80" s="140"/>
      <c r="K80" s="140"/>
      <c r="L80" s="52"/>
    </row>
    <row r="81" spans="3:12">
      <c r="E81" s="136"/>
      <c r="F81" s="137"/>
      <c r="G81" s="138"/>
      <c r="H81" s="139"/>
      <c r="I81" s="140"/>
      <c r="J81" s="140"/>
      <c r="K81" s="140"/>
      <c r="L81" s="52"/>
    </row>
    <row r="82" spans="3:12">
      <c r="E82" s="136"/>
      <c r="F82" s="137"/>
      <c r="G82" s="138"/>
      <c r="H82" s="139"/>
      <c r="I82" s="140"/>
      <c r="J82" s="140"/>
      <c r="K82" s="140"/>
      <c r="L82" s="52"/>
    </row>
    <row r="83" spans="3:12">
      <c r="E83" s="136"/>
      <c r="F83" s="137"/>
      <c r="G83" s="138"/>
      <c r="H83" s="139"/>
      <c r="I83" s="136"/>
      <c r="J83" s="140"/>
      <c r="K83" s="140"/>
    </row>
    <row r="84" spans="3:12">
      <c r="E84" s="136"/>
      <c r="F84" s="137"/>
      <c r="G84" s="138"/>
      <c r="H84" s="139"/>
      <c r="I84" s="136"/>
      <c r="J84" s="140"/>
      <c r="K84" s="140"/>
    </row>
    <row r="85" spans="3:12">
      <c r="E85" s="136"/>
      <c r="F85" s="137"/>
      <c r="G85" s="138"/>
      <c r="H85" s="139"/>
      <c r="I85" s="136"/>
      <c r="J85" s="140"/>
      <c r="K85" s="140"/>
    </row>
    <row r="86" spans="3:12">
      <c r="E86" s="136"/>
      <c r="F86" s="137"/>
      <c r="G86" s="138"/>
      <c r="H86" s="139"/>
      <c r="I86" s="136"/>
      <c r="J86" s="140"/>
      <c r="K86" s="140"/>
    </row>
    <row r="87" spans="3:12">
      <c r="E87" s="136"/>
      <c r="F87" s="137"/>
      <c r="G87" s="138"/>
      <c r="H87" s="139"/>
      <c r="I87" s="136"/>
      <c r="J87" s="140"/>
      <c r="K87" s="140"/>
    </row>
    <row r="88" spans="3:12">
      <c r="E88" s="136"/>
      <c r="F88" s="137"/>
      <c r="G88" s="138"/>
      <c r="H88" s="139"/>
      <c r="I88" s="141"/>
      <c r="J88" s="140"/>
      <c r="K88" s="140"/>
    </row>
    <row r="89" spans="3:12">
      <c r="E89" s="136"/>
      <c r="F89" s="137"/>
      <c r="G89" s="138"/>
      <c r="H89" s="139"/>
      <c r="I89" s="141"/>
      <c r="J89" s="140"/>
      <c r="K89" s="140"/>
    </row>
    <row r="90" spans="3:12">
      <c r="C90" s="69"/>
      <c r="D90" s="69"/>
      <c r="E90" s="136"/>
      <c r="F90" s="137"/>
      <c r="G90" s="138"/>
      <c r="H90" s="139"/>
      <c r="I90" s="141"/>
      <c r="J90" s="140"/>
      <c r="K90" s="140"/>
    </row>
    <row r="91" spans="3:12">
      <c r="E91" s="136"/>
      <c r="F91" s="137"/>
      <c r="G91" s="138"/>
      <c r="H91" s="139"/>
      <c r="I91" s="141"/>
      <c r="J91" s="140"/>
      <c r="K91" s="140"/>
    </row>
    <row r="92" spans="3:12">
      <c r="E92" s="92"/>
      <c r="F92" s="142"/>
      <c r="G92" s="138"/>
      <c r="H92" s="143"/>
      <c r="J92" s="92"/>
      <c r="K92" s="140"/>
    </row>
    <row r="93" spans="3:12">
      <c r="E93" s="92"/>
      <c r="F93" s="142"/>
      <c r="G93" s="138"/>
      <c r="H93" s="144"/>
      <c r="J93" s="92"/>
      <c r="K93" s="140"/>
    </row>
    <row r="94" spans="3:12">
      <c r="E94" s="92"/>
      <c r="F94" s="88"/>
      <c r="G94" s="138"/>
      <c r="H94" s="145"/>
      <c r="J94" s="146"/>
      <c r="K94" s="140"/>
      <c r="L94" s="49"/>
    </row>
    <row r="95" spans="3:12">
      <c r="E95" s="92"/>
      <c r="F95" s="88"/>
      <c r="G95" s="138"/>
      <c r="H95" s="145"/>
      <c r="J95" s="146"/>
      <c r="K95" s="140"/>
      <c r="L95" s="49"/>
    </row>
    <row r="96" spans="3:12">
      <c r="E96" s="92"/>
      <c r="F96" s="88"/>
      <c r="G96" s="138"/>
      <c r="H96" s="145"/>
      <c r="J96" s="146"/>
      <c r="K96" s="140"/>
      <c r="L96" s="49"/>
    </row>
    <row r="97" spans="5:12">
      <c r="E97" s="92"/>
      <c r="F97" s="88"/>
      <c r="G97" s="138"/>
      <c r="H97" s="145"/>
      <c r="J97" s="146"/>
      <c r="K97" s="140"/>
      <c r="L97" s="49"/>
    </row>
    <row r="98" spans="5:12">
      <c r="E98" s="92"/>
      <c r="F98" s="88"/>
      <c r="G98" s="138"/>
      <c r="H98" s="145"/>
      <c r="J98" s="146"/>
      <c r="K98" s="140"/>
      <c r="L98" s="49"/>
    </row>
    <row r="99" spans="5:12">
      <c r="E99" s="92"/>
      <c r="F99" s="88"/>
      <c r="G99" s="138"/>
      <c r="H99" s="145"/>
      <c r="J99" s="146"/>
      <c r="K99" s="140"/>
      <c r="L99" s="49"/>
    </row>
    <row r="100" spans="5:12">
      <c r="E100" s="92"/>
      <c r="F100" s="147"/>
      <c r="G100" s="138"/>
      <c r="H100" s="144"/>
      <c r="I100" s="92"/>
      <c r="J100" s="146"/>
      <c r="K100" s="140"/>
    </row>
    <row r="101" spans="5:12">
      <c r="E101" s="92"/>
      <c r="F101" s="147"/>
      <c r="G101" s="138"/>
      <c r="H101" s="144"/>
      <c r="I101" s="92"/>
      <c r="J101" s="146"/>
      <c r="K101" s="140"/>
    </row>
    <row r="102" spans="5:12">
      <c r="E102" s="92"/>
      <c r="F102" s="147"/>
      <c r="G102" s="138"/>
      <c r="H102" s="144"/>
      <c r="I102" s="92"/>
      <c r="J102" s="146"/>
      <c r="K102" s="140"/>
    </row>
    <row r="103" spans="5:12">
      <c r="E103" s="92"/>
      <c r="F103" s="92"/>
      <c r="G103" s="138"/>
      <c r="H103" s="92"/>
      <c r="I103" s="92"/>
      <c r="J103" s="92"/>
      <c r="K103" s="92"/>
    </row>
  </sheetData>
  <mergeCells count="74">
    <mergeCell ref="A26:F26"/>
    <mergeCell ref="G26:G29"/>
    <mergeCell ref="A27:F29"/>
    <mergeCell ref="A1:K4"/>
    <mergeCell ref="H5:K5"/>
    <mergeCell ref="H8:K10"/>
    <mergeCell ref="H11:I12"/>
    <mergeCell ref="J11:K12"/>
    <mergeCell ref="H13:I13"/>
    <mergeCell ref="J13:K13"/>
    <mergeCell ref="H14:K14"/>
    <mergeCell ref="H15:K17"/>
    <mergeCell ref="A23:C23"/>
    <mergeCell ref="A24:C24"/>
    <mergeCell ref="C25:E25"/>
    <mergeCell ref="B36:C36"/>
    <mergeCell ref="G36:H36"/>
    <mergeCell ref="A31:A34"/>
    <mergeCell ref="B31:C34"/>
    <mergeCell ref="D31:D34"/>
    <mergeCell ref="E31:E34"/>
    <mergeCell ref="F31:F34"/>
    <mergeCell ref="G31:H34"/>
    <mergeCell ref="I31:I34"/>
    <mergeCell ref="J31:J34"/>
    <mergeCell ref="K31:K34"/>
    <mergeCell ref="B35:C35"/>
    <mergeCell ref="G35:H35"/>
    <mergeCell ref="B37:C37"/>
    <mergeCell ref="G37:H37"/>
    <mergeCell ref="B38:C38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B43:C43"/>
    <mergeCell ref="G43:H43"/>
    <mergeCell ref="B44:C44"/>
    <mergeCell ref="G44:H44"/>
    <mergeCell ref="G45:H45"/>
    <mergeCell ref="I60:K60"/>
    <mergeCell ref="A64:C64"/>
    <mergeCell ref="A55:E58"/>
    <mergeCell ref="F55:F56"/>
    <mergeCell ref="G55:H58"/>
    <mergeCell ref="I55:I56"/>
    <mergeCell ref="J55:J58"/>
    <mergeCell ref="K55:K58"/>
    <mergeCell ref="I57:I58"/>
    <mergeCell ref="B45:C45"/>
    <mergeCell ref="B46:C46"/>
    <mergeCell ref="B47:C47"/>
    <mergeCell ref="G47:H47"/>
    <mergeCell ref="I59:J59"/>
    <mergeCell ref="G46:H46"/>
    <mergeCell ref="B48:C48"/>
    <mergeCell ref="G48:H48"/>
    <mergeCell ref="B49:C49"/>
    <mergeCell ref="G49:H49"/>
    <mergeCell ref="B53:C53"/>
    <mergeCell ref="G53:H53"/>
    <mergeCell ref="G54:H54"/>
    <mergeCell ref="B54:C54"/>
    <mergeCell ref="B50:C50"/>
    <mergeCell ref="G50:H50"/>
    <mergeCell ref="B51:C51"/>
    <mergeCell ref="G51:H51"/>
    <mergeCell ref="B52:C52"/>
    <mergeCell ref="G52:H52"/>
  </mergeCells>
  <phoneticPr fontId="4"/>
  <pageMargins left="0.16" right="0" top="0" bottom="0" header="0" footer="0"/>
  <pageSetup paperSize="9" scale="7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P112"/>
  <sheetViews>
    <sheetView showZeros="0" topLeftCell="B1" workbookViewId="0">
      <pane xSplit="4" ySplit="2" topLeftCell="F3" activePane="bottomRight" state="frozen"/>
      <selection activeCell="B1" sqref="B1"/>
      <selection pane="topRight" activeCell="F1" sqref="F1"/>
      <selection pane="bottomLeft" activeCell="B3" sqref="B3"/>
      <selection pane="bottomRight" activeCell="F9" sqref="F9"/>
    </sheetView>
  </sheetViews>
  <sheetFormatPr defaultColWidth="9" defaultRowHeight="15"/>
  <cols>
    <col min="1" max="1" width="6.75" style="21" customWidth="1"/>
    <col min="2" max="2" width="38.875" style="21" customWidth="1"/>
    <col min="3" max="3" width="9.75" style="21" bestFit="1" customWidth="1"/>
    <col min="4" max="4" width="9" style="21"/>
    <col min="5" max="5" width="19.25" style="21" customWidth="1"/>
    <col min="6" max="12" width="10.375" style="21" customWidth="1"/>
    <col min="13" max="13" width="10.625" style="21" bestFit="1" customWidth="1"/>
    <col min="14" max="15" width="10.375" style="21" customWidth="1"/>
    <col min="16" max="16" width="17.375" style="21" customWidth="1"/>
    <col min="17" max="16384" width="9" style="21"/>
  </cols>
  <sheetData>
    <row r="2" spans="1:15" ht="24" customHeight="1">
      <c r="A2" s="71" t="s">
        <v>84</v>
      </c>
      <c r="B2" s="71" t="s">
        <v>85</v>
      </c>
      <c r="C2" s="71" t="s">
        <v>86</v>
      </c>
      <c r="D2" s="72" t="s">
        <v>87</v>
      </c>
      <c r="E2" s="71" t="s">
        <v>88</v>
      </c>
      <c r="F2" s="71" t="s">
        <v>89</v>
      </c>
      <c r="G2" s="71" t="s">
        <v>90</v>
      </c>
      <c r="H2" s="71" t="s">
        <v>91</v>
      </c>
      <c r="I2" s="71" t="s">
        <v>55</v>
      </c>
      <c r="J2" s="71" t="s">
        <v>56</v>
      </c>
      <c r="K2" s="71" t="s">
        <v>92</v>
      </c>
      <c r="L2" s="77" t="s">
        <v>93</v>
      </c>
      <c r="M2" s="77" t="s">
        <v>167</v>
      </c>
      <c r="N2" s="77" t="s">
        <v>168</v>
      </c>
      <c r="O2" s="114"/>
    </row>
    <row r="3" spans="1:15" ht="20.100000000000001" customHeight="1">
      <c r="A3" s="90">
        <v>1</v>
      </c>
      <c r="B3" s="90" t="s">
        <v>67</v>
      </c>
      <c r="C3" s="65">
        <v>0.78</v>
      </c>
      <c r="D3" s="47">
        <v>100</v>
      </c>
      <c r="E3" s="66">
        <v>180</v>
      </c>
      <c r="F3" s="90">
        <f>_xlfn.IFNA(VLOOKUP(B3,'PACKING LIST'!$B$35:$F$54,5,FALSE),0)</f>
        <v>0</v>
      </c>
      <c r="G3" s="87">
        <f>ROUNDUP(F3/E3,0)</f>
        <v>0</v>
      </c>
      <c r="H3" s="48">
        <f>F3*D3/1000</f>
        <v>0</v>
      </c>
      <c r="I3" s="53">
        <f>G3*6*0.4/1000</f>
        <v>0</v>
      </c>
      <c r="J3" s="53">
        <f t="shared" ref="J3:J7" si="0">G3*0.7</f>
        <v>0</v>
      </c>
      <c r="K3" s="51">
        <f>J3+I3+H3</f>
        <v>0</v>
      </c>
      <c r="L3" s="51" t="s">
        <v>52</v>
      </c>
      <c r="M3" s="92">
        <v>39161020</v>
      </c>
      <c r="N3" s="88" t="s">
        <v>169</v>
      </c>
      <c r="O3" s="88"/>
    </row>
    <row r="4" spans="1:15" ht="20.100000000000001" customHeight="1">
      <c r="A4" s="90">
        <f>A3+1</f>
        <v>2</v>
      </c>
      <c r="B4" s="90" t="s">
        <v>68</v>
      </c>
      <c r="C4" s="65">
        <f>0.44</f>
        <v>0.44</v>
      </c>
      <c r="D4" s="47">
        <v>53</v>
      </c>
      <c r="E4" s="66">
        <v>350</v>
      </c>
      <c r="F4" s="90">
        <f>_xlfn.IFNA(VLOOKUP(B4,'PACKING LIST'!$B$35:$F$54,5,FALSE),0)</f>
        <v>0</v>
      </c>
      <c r="G4" s="87">
        <f>ROUNDUP(F4/E4,0)</f>
        <v>0</v>
      </c>
      <c r="H4" s="48">
        <f t="shared" ref="H4:H8" si="1">F4*D4/1000</f>
        <v>0</v>
      </c>
      <c r="I4" s="53">
        <f>G4*7*0.4/1000</f>
        <v>0</v>
      </c>
      <c r="J4" s="53">
        <f t="shared" si="0"/>
        <v>0</v>
      </c>
      <c r="K4" s="51">
        <f t="shared" ref="K4:K44" si="2">J4+I4+H4</f>
        <v>0</v>
      </c>
      <c r="L4" s="51" t="s">
        <v>52</v>
      </c>
      <c r="M4" s="92">
        <v>39161020</v>
      </c>
      <c r="N4" s="88" t="s">
        <v>169</v>
      </c>
      <c r="O4" s="88"/>
    </row>
    <row r="5" spans="1:15" ht="20.100000000000001" customHeight="1">
      <c r="A5" s="90">
        <v>3</v>
      </c>
      <c r="B5" s="90" t="s">
        <v>94</v>
      </c>
      <c r="C5" s="65">
        <v>0.49</v>
      </c>
      <c r="D5" s="80">
        <v>60</v>
      </c>
      <c r="E5" s="66">
        <v>360</v>
      </c>
      <c r="F5" s="90">
        <f>_xlfn.IFNA(VLOOKUP(B5,'PACKING LIST'!$B$35:$F$54,5,FALSE),0)</f>
        <v>0</v>
      </c>
      <c r="G5" s="87">
        <f t="shared" ref="G5" si="3">ROUNDUP(F5/E5,0)</f>
        <v>0</v>
      </c>
      <c r="H5" s="48">
        <f t="shared" si="1"/>
        <v>0</v>
      </c>
      <c r="I5" s="53">
        <f>G5*7*0.4/1000</f>
        <v>0</v>
      </c>
      <c r="J5" s="53">
        <f t="shared" si="0"/>
        <v>0</v>
      </c>
      <c r="K5" s="51">
        <f t="shared" ref="K5" si="4">J5+I5+H5</f>
        <v>0</v>
      </c>
      <c r="L5" s="51" t="s">
        <v>52</v>
      </c>
      <c r="M5" s="92">
        <v>39161020</v>
      </c>
      <c r="N5" s="88" t="s">
        <v>169</v>
      </c>
      <c r="O5" s="88"/>
    </row>
    <row r="6" spans="1:15" ht="20.100000000000001" customHeight="1">
      <c r="A6" s="90">
        <f>A5+1</f>
        <v>4</v>
      </c>
      <c r="B6" s="90" t="s">
        <v>61</v>
      </c>
      <c r="C6" s="65">
        <f>0.38</f>
        <v>0.38</v>
      </c>
      <c r="D6" s="80">
        <v>43</v>
      </c>
      <c r="E6" s="66">
        <v>360</v>
      </c>
      <c r="F6" s="90">
        <f>_xlfn.IFNA(VLOOKUP(B6,'PACKING LIST'!$B$35:$F$54,5,FALSE),0)</f>
        <v>0</v>
      </c>
      <c r="G6" s="87">
        <f t="shared" ref="G6:G9" si="5">ROUNDUP(F6/E6,0)</f>
        <v>0</v>
      </c>
      <c r="H6" s="48">
        <f t="shared" si="1"/>
        <v>0</v>
      </c>
      <c r="I6" s="53">
        <f>G6*7*0.4/1000</f>
        <v>0</v>
      </c>
      <c r="J6" s="53">
        <f t="shared" si="0"/>
        <v>0</v>
      </c>
      <c r="K6" s="51">
        <f>J6+I6+H6</f>
        <v>0</v>
      </c>
      <c r="L6" s="51" t="s">
        <v>52</v>
      </c>
      <c r="M6" s="92">
        <v>39161020</v>
      </c>
      <c r="N6" s="88" t="s">
        <v>169</v>
      </c>
      <c r="O6" s="88"/>
    </row>
    <row r="7" spans="1:15" ht="20.100000000000001" customHeight="1">
      <c r="A7" s="90">
        <f t="shared" ref="A7:A107" si="6">A6+1</f>
        <v>5</v>
      </c>
      <c r="B7" s="90" t="s">
        <v>60</v>
      </c>
      <c r="C7" s="65">
        <f>0.25</f>
        <v>0.25</v>
      </c>
      <c r="D7" s="80">
        <v>28</v>
      </c>
      <c r="E7" s="66">
        <v>540</v>
      </c>
      <c r="F7" s="90">
        <f>_xlfn.IFNA(VLOOKUP(B7,'PACKING LIST'!$B$35:$F$54,5,FALSE),0)</f>
        <v>0</v>
      </c>
      <c r="G7" s="87">
        <f t="shared" si="5"/>
        <v>0</v>
      </c>
      <c r="H7" s="48">
        <f t="shared" si="1"/>
        <v>0</v>
      </c>
      <c r="I7" s="53">
        <f>G7*7*0.4/1000</f>
        <v>0</v>
      </c>
      <c r="J7" s="53">
        <f t="shared" si="0"/>
        <v>0</v>
      </c>
      <c r="K7" s="51">
        <f t="shared" ref="K7" si="7">J7+I7+H7</f>
        <v>0</v>
      </c>
      <c r="L7" s="51" t="s">
        <v>52</v>
      </c>
      <c r="M7" s="92">
        <v>39161020</v>
      </c>
      <c r="N7" s="88" t="s">
        <v>169</v>
      </c>
      <c r="O7" s="88"/>
    </row>
    <row r="8" spans="1:15" ht="20.100000000000001" customHeight="1">
      <c r="A8" s="90">
        <f t="shared" si="6"/>
        <v>6</v>
      </c>
      <c r="B8" s="90" t="s">
        <v>62</v>
      </c>
      <c r="C8" s="65">
        <f>0.38</f>
        <v>0.38</v>
      </c>
      <c r="D8" s="80">
        <v>43</v>
      </c>
      <c r="E8" s="66">
        <v>360</v>
      </c>
      <c r="F8" s="90">
        <f>_xlfn.IFNA(VLOOKUP(B8,'PACKING LIST'!$B$35:$F$54,5,FALSE),0)</f>
        <v>0</v>
      </c>
      <c r="G8" s="87">
        <f>ROUNDUP(F8/E8,0)</f>
        <v>0</v>
      </c>
      <c r="H8" s="48">
        <f t="shared" si="1"/>
        <v>0</v>
      </c>
      <c r="I8" s="53">
        <f>G8*7*0.4/1000</f>
        <v>0</v>
      </c>
      <c r="J8" s="53">
        <f>G8*0.7</f>
        <v>0</v>
      </c>
      <c r="K8" s="51">
        <f t="shared" ref="K8" si="8">J8+I8+H8</f>
        <v>0</v>
      </c>
      <c r="L8" s="51" t="s">
        <v>52</v>
      </c>
      <c r="M8" s="92">
        <v>39161020</v>
      </c>
      <c r="N8" s="88" t="s">
        <v>169</v>
      </c>
      <c r="O8" s="88"/>
    </row>
    <row r="9" spans="1:15" ht="20.100000000000001" customHeight="1">
      <c r="A9" s="90">
        <f t="shared" si="6"/>
        <v>7</v>
      </c>
      <c r="B9" s="90" t="s">
        <v>69</v>
      </c>
      <c r="C9" s="105">
        <v>0.61</v>
      </c>
      <c r="D9" s="115">
        <f>3.9/50*1000</f>
        <v>78</v>
      </c>
      <c r="E9" s="67">
        <v>50</v>
      </c>
      <c r="F9" s="90">
        <f>_xlfn.IFNA(VLOOKUP(B9,'PACKING LIST'!$B$35:$F$54,5,FALSE),0)</f>
        <v>4000</v>
      </c>
      <c r="G9" s="87">
        <f t="shared" si="5"/>
        <v>80</v>
      </c>
      <c r="H9" s="48">
        <f>G9*D9</f>
        <v>6240</v>
      </c>
      <c r="I9" s="53"/>
      <c r="J9" s="53">
        <f>G9*0</f>
        <v>0</v>
      </c>
      <c r="K9" s="51">
        <f>J9+I9+H9</f>
        <v>6240</v>
      </c>
      <c r="L9" s="51" t="s">
        <v>79</v>
      </c>
      <c r="M9" s="92">
        <v>39169092</v>
      </c>
      <c r="N9" s="88" t="s">
        <v>169</v>
      </c>
      <c r="O9" s="88"/>
    </row>
    <row r="10" spans="1:15" ht="20.100000000000001" customHeight="1">
      <c r="A10" s="90">
        <f t="shared" si="6"/>
        <v>8</v>
      </c>
      <c r="B10" s="90" t="s">
        <v>95</v>
      </c>
      <c r="C10" s="65">
        <v>1.0999999999999999E-2</v>
      </c>
      <c r="D10" s="78">
        <v>0.7</v>
      </c>
      <c r="E10" s="66">
        <v>20000</v>
      </c>
      <c r="F10" s="90">
        <f>_xlfn.IFNA(VLOOKUP(B10,'PACKING LIST'!$B$35:$F$54,5,FALSE),0)</f>
        <v>0</v>
      </c>
      <c r="G10" s="87">
        <f t="shared" ref="G10:G44" si="9">ROUNDUP(F10/E10,0)</f>
        <v>0</v>
      </c>
      <c r="H10" s="48">
        <f t="shared" ref="H10:H13" si="10">F10*D10/1000</f>
        <v>0</v>
      </c>
      <c r="I10" s="53"/>
      <c r="J10" s="53">
        <f t="shared" ref="J10:J27" si="11">G10*0.7</f>
        <v>0</v>
      </c>
      <c r="K10" s="51">
        <f t="shared" si="2"/>
        <v>0</v>
      </c>
      <c r="L10" s="51" t="s">
        <v>52</v>
      </c>
      <c r="M10" s="92">
        <v>39169092</v>
      </c>
      <c r="N10" s="88" t="s">
        <v>169</v>
      </c>
      <c r="O10" s="88"/>
    </row>
    <row r="11" spans="1:15" ht="20.100000000000001" customHeight="1">
      <c r="A11" s="90">
        <f t="shared" si="6"/>
        <v>9</v>
      </c>
      <c r="B11" s="90" t="s">
        <v>182</v>
      </c>
      <c r="C11" s="65">
        <v>0.01</v>
      </c>
      <c r="D11" s="78">
        <v>0.7</v>
      </c>
      <c r="E11" s="66">
        <v>20000</v>
      </c>
      <c r="F11" s="90">
        <f>_xlfn.IFNA(VLOOKUP(B11,'PACKING LIST'!$B$35:$F$54,5,FALSE),0)</f>
        <v>0</v>
      </c>
      <c r="G11" s="87">
        <f t="shared" ref="G11" si="12">ROUNDUP(F11/E11,0)</f>
        <v>0</v>
      </c>
      <c r="H11" s="48">
        <f t="shared" ref="H11" si="13">F11*D11/1000</f>
        <v>0</v>
      </c>
      <c r="I11" s="53"/>
      <c r="J11" s="53">
        <f t="shared" ref="J11" si="14">G11*0.7</f>
        <v>0</v>
      </c>
      <c r="K11" s="51">
        <f t="shared" ref="K11" si="15">J11+I11+H11</f>
        <v>0</v>
      </c>
      <c r="L11" s="51" t="s">
        <v>52</v>
      </c>
      <c r="M11" s="92">
        <v>39169092</v>
      </c>
      <c r="N11" s="88" t="s">
        <v>169</v>
      </c>
      <c r="O11" s="88"/>
    </row>
    <row r="12" spans="1:15" ht="20.100000000000001" customHeight="1">
      <c r="A12" s="90">
        <f>A10+1</f>
        <v>9</v>
      </c>
      <c r="B12" s="90" t="s">
        <v>180</v>
      </c>
      <c r="C12" s="65">
        <v>1.2999999999999999E-2</v>
      </c>
      <c r="D12" s="78">
        <v>0.7</v>
      </c>
      <c r="E12" s="66">
        <v>20000</v>
      </c>
      <c r="F12" s="90">
        <f>_xlfn.IFNA(VLOOKUP(B12,'PACKING LIST'!$B$35:$F$54,5,FALSE),0)</f>
        <v>0</v>
      </c>
      <c r="G12" s="87">
        <f t="shared" ref="G12" si="16">ROUNDUP(F12/E12,0)</f>
        <v>0</v>
      </c>
      <c r="H12" s="48">
        <f t="shared" ref="H12" si="17">F12*D12/1000</f>
        <v>0</v>
      </c>
      <c r="I12" s="53"/>
      <c r="J12" s="53">
        <f t="shared" ref="J12" si="18">G12*0.7</f>
        <v>0</v>
      </c>
      <c r="K12" s="51">
        <f t="shared" ref="K12" si="19">J12+I12+H12</f>
        <v>0</v>
      </c>
      <c r="L12" s="51" t="s">
        <v>52</v>
      </c>
      <c r="M12" s="92">
        <v>39169092</v>
      </c>
      <c r="N12" s="88" t="s">
        <v>169</v>
      </c>
      <c r="O12" s="88"/>
    </row>
    <row r="13" spans="1:15" ht="20.100000000000001" customHeight="1">
      <c r="A13" s="90">
        <f>A10+1</f>
        <v>9</v>
      </c>
      <c r="B13" s="90" t="s">
        <v>96</v>
      </c>
      <c r="C13" s="65">
        <v>1.2999999999999999E-2</v>
      </c>
      <c r="D13" s="47">
        <v>0.8</v>
      </c>
      <c r="E13" s="66">
        <v>20000</v>
      </c>
      <c r="F13" s="90">
        <f>_xlfn.IFNA(VLOOKUP(B13,'PACKING LIST'!$B$35:$F$54,5,FALSE),0)</f>
        <v>0</v>
      </c>
      <c r="G13" s="87">
        <f t="shared" si="9"/>
        <v>0</v>
      </c>
      <c r="H13" s="48">
        <f t="shared" si="10"/>
        <v>0</v>
      </c>
      <c r="I13" s="53"/>
      <c r="J13" s="53">
        <f t="shared" si="11"/>
        <v>0</v>
      </c>
      <c r="K13" s="51">
        <f t="shared" si="2"/>
        <v>0</v>
      </c>
      <c r="L13" s="51" t="s">
        <v>52</v>
      </c>
      <c r="M13" s="92">
        <v>39169092</v>
      </c>
      <c r="N13" s="88" t="s">
        <v>169</v>
      </c>
      <c r="O13" s="88"/>
    </row>
    <row r="14" spans="1:15" ht="20.100000000000001" customHeight="1">
      <c r="A14" s="90">
        <f>A12+1</f>
        <v>10</v>
      </c>
      <c r="B14" s="90" t="s">
        <v>181</v>
      </c>
      <c r="C14" s="65">
        <v>1.4999999999999999E-2</v>
      </c>
      <c r="D14" s="47">
        <v>0.8</v>
      </c>
      <c r="E14" s="66">
        <v>20000</v>
      </c>
      <c r="F14" s="90">
        <f>_xlfn.IFNA(VLOOKUP(B14,'PACKING LIST'!$B$35:$F$54,5,FALSE),0)</f>
        <v>0</v>
      </c>
      <c r="G14" s="87">
        <f t="shared" ref="G14" si="20">ROUNDUP(F14/E14,0)</f>
        <v>0</v>
      </c>
      <c r="H14" s="48">
        <f t="shared" ref="H14" si="21">F14*D14/1000</f>
        <v>0</v>
      </c>
      <c r="I14" s="53"/>
      <c r="J14" s="53">
        <f t="shared" ref="J14" si="22">G14*0.7</f>
        <v>0</v>
      </c>
      <c r="K14" s="51">
        <f t="shared" ref="K14" si="23">J14+I14+H14</f>
        <v>0</v>
      </c>
      <c r="L14" s="51" t="s">
        <v>52</v>
      </c>
      <c r="M14" s="92">
        <v>39169092</v>
      </c>
      <c r="N14" s="88" t="s">
        <v>169</v>
      </c>
      <c r="O14" s="88"/>
    </row>
    <row r="15" spans="1:15" ht="20.100000000000001" customHeight="1">
      <c r="A15" s="90"/>
      <c r="B15" s="90" t="s">
        <v>175</v>
      </c>
      <c r="C15" s="65">
        <v>0.01</v>
      </c>
      <c r="D15" s="47">
        <v>0.8</v>
      </c>
      <c r="E15" s="66">
        <v>20000</v>
      </c>
      <c r="F15" s="90">
        <f>_xlfn.IFNA(VLOOKUP(B15,'PACKING LIST'!$B$35:$F$54,5,FALSE),0)</f>
        <v>0</v>
      </c>
      <c r="G15" s="87">
        <f t="shared" ref="G15:G20" si="24">ROUNDUP(F15/E15,0)</f>
        <v>0</v>
      </c>
      <c r="H15" s="48">
        <f>F15*D15/1000</f>
        <v>0</v>
      </c>
      <c r="I15" s="53"/>
      <c r="J15" s="53">
        <f t="shared" ref="J15:J18" si="25">G15*0.7</f>
        <v>0</v>
      </c>
      <c r="K15" s="51">
        <f>J15+I15+H15</f>
        <v>0</v>
      </c>
      <c r="L15" s="51" t="s">
        <v>52</v>
      </c>
      <c r="M15" s="92">
        <v>39169092</v>
      </c>
      <c r="N15" s="88" t="s">
        <v>169</v>
      </c>
      <c r="O15" s="88"/>
    </row>
    <row r="16" spans="1:15" ht="20.100000000000001" customHeight="1">
      <c r="A16" s="90"/>
      <c r="B16" s="90" t="s">
        <v>176</v>
      </c>
      <c r="C16" s="65">
        <v>0.01</v>
      </c>
      <c r="D16" s="47">
        <v>0.8</v>
      </c>
      <c r="E16" s="66">
        <v>20000</v>
      </c>
      <c r="F16" s="90">
        <f>_xlfn.IFNA(VLOOKUP(B16,'PACKING LIST'!$B$35:$F$54,5,FALSE),0)</f>
        <v>0</v>
      </c>
      <c r="G16" s="87">
        <f t="shared" si="24"/>
        <v>0</v>
      </c>
      <c r="H16" s="48">
        <f>F16*D16/1000</f>
        <v>0</v>
      </c>
      <c r="I16" s="53"/>
      <c r="J16" s="53">
        <f t="shared" si="25"/>
        <v>0</v>
      </c>
      <c r="K16" s="51">
        <f>J16+I16+H16</f>
        <v>0</v>
      </c>
      <c r="L16" s="51" t="s">
        <v>52</v>
      </c>
      <c r="M16" s="92">
        <v>39169092</v>
      </c>
      <c r="N16" s="88" t="s">
        <v>169</v>
      </c>
      <c r="O16" s="88"/>
    </row>
    <row r="17" spans="1:15" ht="20.100000000000001" customHeight="1">
      <c r="A17" s="90"/>
      <c r="B17" s="90" t="s">
        <v>177</v>
      </c>
      <c r="C17" s="65">
        <v>0.01</v>
      </c>
      <c r="D17" s="47">
        <v>0.8</v>
      </c>
      <c r="E17" s="66">
        <v>20000</v>
      </c>
      <c r="F17" s="90">
        <f>_xlfn.IFNA(VLOOKUP(B17,'PACKING LIST'!$B$35:$F$54,5,FALSE),0)</f>
        <v>0</v>
      </c>
      <c r="G17" s="87">
        <f t="shared" si="24"/>
        <v>0</v>
      </c>
      <c r="H17" s="48">
        <f>F17*D17/1000</f>
        <v>0</v>
      </c>
      <c r="I17" s="53"/>
      <c r="J17" s="53">
        <f t="shared" si="25"/>
        <v>0</v>
      </c>
      <c r="K17" s="51">
        <f>J17+I17+H17</f>
        <v>0</v>
      </c>
      <c r="L17" s="51" t="s">
        <v>52</v>
      </c>
      <c r="M17" s="92">
        <v>39169092</v>
      </c>
      <c r="N17" s="88" t="s">
        <v>169</v>
      </c>
      <c r="O17" s="88"/>
    </row>
    <row r="18" spans="1:15" ht="20.100000000000001" customHeight="1">
      <c r="A18" s="90"/>
      <c r="B18" s="90" t="s">
        <v>178</v>
      </c>
      <c r="C18" s="65">
        <v>1.2999999999999999E-2</v>
      </c>
      <c r="D18" s="47">
        <v>0.8</v>
      </c>
      <c r="E18" s="66">
        <v>20000</v>
      </c>
      <c r="F18" s="90">
        <f>_xlfn.IFNA(VLOOKUP(B18,'PACKING LIST'!$B$35:$F$54,5,FALSE),0)</f>
        <v>0</v>
      </c>
      <c r="G18" s="87">
        <f t="shared" si="24"/>
        <v>0</v>
      </c>
      <c r="H18" s="48">
        <f>F18*D18/1000</f>
        <v>0</v>
      </c>
      <c r="I18" s="53"/>
      <c r="J18" s="53">
        <f t="shared" si="25"/>
        <v>0</v>
      </c>
      <c r="K18" s="51">
        <f>J18+I18+H18</f>
        <v>0</v>
      </c>
      <c r="L18" s="51" t="s">
        <v>52</v>
      </c>
      <c r="M18" s="92">
        <v>39169092</v>
      </c>
      <c r="N18" s="88" t="s">
        <v>169</v>
      </c>
      <c r="O18" s="88"/>
    </row>
    <row r="19" spans="1:15" ht="20.100000000000001" customHeight="1">
      <c r="A19" s="90">
        <f>A13+1</f>
        <v>10</v>
      </c>
      <c r="B19" s="90" t="s">
        <v>70</v>
      </c>
      <c r="C19" s="65">
        <v>1.2999999999999999E-2</v>
      </c>
      <c r="D19" s="47">
        <v>0.8</v>
      </c>
      <c r="E19" s="66">
        <v>20000</v>
      </c>
      <c r="F19" s="90">
        <f>_xlfn.IFNA(VLOOKUP(B19,'PACKING LIST'!$B$35:$F$54,5,FALSE),0)</f>
        <v>0</v>
      </c>
      <c r="G19" s="87">
        <f t="shared" si="24"/>
        <v>0</v>
      </c>
      <c r="H19" s="48">
        <f>F19*D19/1000</f>
        <v>0</v>
      </c>
      <c r="I19" s="53"/>
      <c r="J19" s="53">
        <f t="shared" si="11"/>
        <v>0</v>
      </c>
      <c r="K19" s="51">
        <f>J19+I19+H19</f>
        <v>0</v>
      </c>
      <c r="L19" s="51" t="s">
        <v>52</v>
      </c>
      <c r="M19" s="92">
        <v>39169092</v>
      </c>
      <c r="N19" s="88" t="s">
        <v>169</v>
      </c>
      <c r="O19" s="88"/>
    </row>
    <row r="20" spans="1:15" ht="20.100000000000001" customHeight="1">
      <c r="A20" s="90">
        <f t="shared" si="6"/>
        <v>11</v>
      </c>
      <c r="B20" s="90" t="s">
        <v>71</v>
      </c>
      <c r="C20" s="65">
        <v>1.2999999999999999E-2</v>
      </c>
      <c r="D20" s="47">
        <v>1.1000000000000001</v>
      </c>
      <c r="E20" s="66">
        <v>10000</v>
      </c>
      <c r="F20" s="90">
        <f>_xlfn.IFNA(VLOOKUP(B20,'PACKING LIST'!$B$35:$F$54,5,FALSE),0)</f>
        <v>0</v>
      </c>
      <c r="G20" s="87">
        <f t="shared" si="24"/>
        <v>0</v>
      </c>
      <c r="H20" s="48">
        <f t="shared" ref="H20:H27" si="26">F20*D20/1000</f>
        <v>0</v>
      </c>
      <c r="I20" s="53"/>
      <c r="J20" s="53">
        <f t="shared" si="11"/>
        <v>0</v>
      </c>
      <c r="K20" s="51">
        <f t="shared" si="2"/>
        <v>0</v>
      </c>
      <c r="L20" s="51" t="s">
        <v>52</v>
      </c>
      <c r="M20" s="92">
        <v>39169092</v>
      </c>
      <c r="N20" s="88" t="s">
        <v>169</v>
      </c>
      <c r="O20" s="88"/>
    </row>
    <row r="21" spans="1:15" ht="20.100000000000001" customHeight="1">
      <c r="A21" s="90">
        <f>A19+1</f>
        <v>11</v>
      </c>
      <c r="B21" s="90" t="s">
        <v>179</v>
      </c>
      <c r="C21" s="65">
        <v>1.2999999999999999E-2</v>
      </c>
      <c r="D21" s="47">
        <v>1.1000000000000001</v>
      </c>
      <c r="E21" s="66">
        <v>10000</v>
      </c>
      <c r="F21" s="90">
        <f>_xlfn.IFNA(VLOOKUP(B21,'PACKING LIST'!$B$35:$F$54,5,FALSE),0)</f>
        <v>0</v>
      </c>
      <c r="G21" s="87">
        <f t="shared" ref="G21" si="27">ROUNDUP(F21/E21,0)</f>
        <v>0</v>
      </c>
      <c r="H21" s="48">
        <f t="shared" ref="H21" si="28">F21*D21/1000</f>
        <v>0</v>
      </c>
      <c r="I21" s="53"/>
      <c r="J21" s="53">
        <f t="shared" ref="J21" si="29">G21*0.7</f>
        <v>0</v>
      </c>
      <c r="K21" s="51">
        <f t="shared" ref="K21" si="30">J21+I21+H21</f>
        <v>0</v>
      </c>
      <c r="L21" s="51" t="s">
        <v>52</v>
      </c>
      <c r="M21" s="92">
        <v>39169092</v>
      </c>
      <c r="N21" s="88" t="s">
        <v>169</v>
      </c>
      <c r="O21" s="88"/>
    </row>
    <row r="22" spans="1:15" ht="20.100000000000001" customHeight="1">
      <c r="A22" s="90">
        <f>A20+1</f>
        <v>12</v>
      </c>
      <c r="B22" s="90" t="s">
        <v>72</v>
      </c>
      <c r="C22" s="117">
        <v>1.6E-2</v>
      </c>
      <c r="D22" s="47">
        <v>1.1000000000000001</v>
      </c>
      <c r="E22" s="66">
        <v>10000</v>
      </c>
      <c r="F22" s="90">
        <f>_xlfn.IFNA(VLOOKUP(B22,'PACKING LIST'!$B$35:$F$54,5,FALSE),0)</f>
        <v>0</v>
      </c>
      <c r="G22" s="87">
        <f t="shared" si="9"/>
        <v>0</v>
      </c>
      <c r="H22" s="48">
        <f t="shared" si="26"/>
        <v>0</v>
      </c>
      <c r="I22" s="53"/>
      <c r="J22" s="53">
        <f t="shared" si="11"/>
        <v>0</v>
      </c>
      <c r="K22" s="51">
        <f t="shared" si="2"/>
        <v>0</v>
      </c>
      <c r="L22" s="51" t="s">
        <v>52</v>
      </c>
      <c r="M22" s="92">
        <v>39169092</v>
      </c>
      <c r="N22" s="88" t="s">
        <v>169</v>
      </c>
      <c r="O22" s="88"/>
    </row>
    <row r="23" spans="1:15" ht="20.100000000000001" customHeight="1">
      <c r="A23" s="90">
        <f t="shared" si="6"/>
        <v>13</v>
      </c>
      <c r="B23" s="90" t="s">
        <v>73</v>
      </c>
      <c r="C23" s="65">
        <v>5.2999999999999999E-2</v>
      </c>
      <c r="D23" s="47">
        <v>3.7</v>
      </c>
      <c r="E23" s="66">
        <v>5000</v>
      </c>
      <c r="F23" s="90">
        <f>_xlfn.IFNA(VLOOKUP(B23,'PACKING LIST'!$B$35:$F$54,5,FALSE),0)</f>
        <v>0</v>
      </c>
      <c r="G23" s="87">
        <f>ROUNDUP(F23/E23,0)</f>
        <v>0</v>
      </c>
      <c r="H23" s="48">
        <f t="shared" si="26"/>
        <v>0</v>
      </c>
      <c r="I23" s="53"/>
      <c r="J23" s="53">
        <f t="shared" si="11"/>
        <v>0</v>
      </c>
      <c r="K23" s="51">
        <f t="shared" si="2"/>
        <v>0</v>
      </c>
      <c r="L23" s="51" t="s">
        <v>52</v>
      </c>
      <c r="M23" s="92">
        <v>39169092</v>
      </c>
      <c r="N23" s="88" t="s">
        <v>169</v>
      </c>
      <c r="O23" s="88"/>
    </row>
    <row r="24" spans="1:15" ht="20.100000000000001" customHeight="1">
      <c r="A24" s="90">
        <f t="shared" si="6"/>
        <v>14</v>
      </c>
      <c r="B24" s="90" t="s">
        <v>97</v>
      </c>
      <c r="C24" s="65">
        <v>3.6999999999999998E-2</v>
      </c>
      <c r="D24" s="47">
        <v>4.3</v>
      </c>
      <c r="E24" s="66">
        <v>3000</v>
      </c>
      <c r="F24" s="90">
        <f>_xlfn.IFNA(VLOOKUP(B24,'PACKING LIST'!$B$35:$F$54,5,FALSE),0)</f>
        <v>0</v>
      </c>
      <c r="G24" s="87">
        <f t="shared" si="9"/>
        <v>0</v>
      </c>
      <c r="H24" s="48">
        <f t="shared" si="26"/>
        <v>0</v>
      </c>
      <c r="I24" s="53"/>
      <c r="J24" s="53">
        <f>G24*0.7</f>
        <v>0</v>
      </c>
      <c r="K24" s="51">
        <f t="shared" si="2"/>
        <v>0</v>
      </c>
      <c r="L24" s="51" t="s">
        <v>52</v>
      </c>
      <c r="M24" s="92">
        <v>39269049</v>
      </c>
      <c r="N24" s="88" t="s">
        <v>170</v>
      </c>
      <c r="O24" s="88"/>
    </row>
    <row r="25" spans="1:15" ht="20.100000000000001" customHeight="1">
      <c r="A25" s="90">
        <f t="shared" si="6"/>
        <v>15</v>
      </c>
      <c r="B25" s="90" t="s">
        <v>81</v>
      </c>
      <c r="C25" s="65">
        <v>0.05</v>
      </c>
      <c r="D25" s="47">
        <v>5.5</v>
      </c>
      <c r="E25" s="66">
        <v>1500</v>
      </c>
      <c r="F25" s="90">
        <f>_xlfn.IFNA(VLOOKUP(B25,'PACKING LIST'!$B$35:$F$54,5,FALSE),0)</f>
        <v>0</v>
      </c>
      <c r="G25" s="87">
        <f>ROUNDUP(F25/E25,0)</f>
        <v>0</v>
      </c>
      <c r="H25" s="48">
        <f t="shared" si="26"/>
        <v>0</v>
      </c>
      <c r="I25" s="53"/>
      <c r="J25" s="53">
        <f>G25*0.7</f>
        <v>0</v>
      </c>
      <c r="K25" s="51">
        <f t="shared" si="2"/>
        <v>0</v>
      </c>
      <c r="L25" s="51" t="s">
        <v>52</v>
      </c>
      <c r="M25" s="92">
        <v>39269049</v>
      </c>
      <c r="N25" s="88" t="s">
        <v>170</v>
      </c>
      <c r="O25" s="88"/>
    </row>
    <row r="26" spans="1:15" ht="20.100000000000001" customHeight="1">
      <c r="A26" s="90">
        <f t="shared" si="6"/>
        <v>16</v>
      </c>
      <c r="B26" s="90" t="s">
        <v>82</v>
      </c>
      <c r="C26" s="65">
        <v>7.0000000000000007E-2</v>
      </c>
      <c r="D26" s="47">
        <v>7.2</v>
      </c>
      <c r="E26" s="66">
        <v>1500</v>
      </c>
      <c r="F26" s="90">
        <f>_xlfn.IFNA(VLOOKUP(B26,'PACKING LIST'!$B$35:$F$54,5,FALSE),0)</f>
        <v>0</v>
      </c>
      <c r="G26" s="87">
        <f t="shared" si="9"/>
        <v>0</v>
      </c>
      <c r="H26" s="48">
        <f t="shared" si="26"/>
        <v>0</v>
      </c>
      <c r="I26" s="53"/>
      <c r="J26" s="53">
        <f t="shared" si="11"/>
        <v>0</v>
      </c>
      <c r="K26" s="51">
        <f t="shared" si="2"/>
        <v>0</v>
      </c>
      <c r="L26" s="51" t="s">
        <v>52</v>
      </c>
      <c r="M26" s="92">
        <v>39269049</v>
      </c>
      <c r="N26" s="88" t="s">
        <v>170</v>
      </c>
      <c r="O26" s="88"/>
    </row>
    <row r="27" spans="1:15" ht="20.100000000000001" customHeight="1">
      <c r="A27" s="90">
        <f t="shared" si="6"/>
        <v>17</v>
      </c>
      <c r="B27" s="90" t="s">
        <v>98</v>
      </c>
      <c r="C27" s="65">
        <v>0.08</v>
      </c>
      <c r="D27" s="47">
        <v>12.4</v>
      </c>
      <c r="E27" s="66">
        <v>1000</v>
      </c>
      <c r="F27" s="90">
        <f>_xlfn.IFNA(VLOOKUP(B27,'PACKING LIST'!$B$35:$F$54,5,FALSE),0)</f>
        <v>0</v>
      </c>
      <c r="G27" s="87">
        <f t="shared" si="9"/>
        <v>0</v>
      </c>
      <c r="H27" s="48">
        <f t="shared" si="26"/>
        <v>0</v>
      </c>
      <c r="I27" s="53"/>
      <c r="J27" s="53">
        <f t="shared" si="11"/>
        <v>0</v>
      </c>
      <c r="K27" s="51">
        <f t="shared" si="2"/>
        <v>0</v>
      </c>
      <c r="L27" s="51" t="s">
        <v>52</v>
      </c>
      <c r="M27" s="92">
        <v>39269049</v>
      </c>
      <c r="N27" s="88" t="s">
        <v>170</v>
      </c>
      <c r="O27" s="88"/>
    </row>
    <row r="28" spans="1:15" ht="20.100000000000001" customHeight="1">
      <c r="A28" s="90">
        <f t="shared" si="6"/>
        <v>18</v>
      </c>
      <c r="B28" s="90" t="s">
        <v>74</v>
      </c>
      <c r="C28" s="65">
        <v>0.58699999999999997</v>
      </c>
      <c r="D28" s="50">
        <v>8.4</v>
      </c>
      <c r="E28" s="67">
        <v>50</v>
      </c>
      <c r="F28" s="90">
        <f>_xlfn.IFNA(VLOOKUP(B28,'PACKING LIST'!$B$35:$F$54,5,FALSE),0)</f>
        <v>0</v>
      </c>
      <c r="G28" s="87">
        <f t="shared" si="9"/>
        <v>0</v>
      </c>
      <c r="H28" s="48">
        <f>F28*D28</f>
        <v>0</v>
      </c>
      <c r="I28" s="53"/>
      <c r="J28" s="53">
        <f>G28*0</f>
        <v>0</v>
      </c>
      <c r="K28" s="51">
        <f t="shared" si="2"/>
        <v>0</v>
      </c>
      <c r="L28" s="51" t="s">
        <v>79</v>
      </c>
      <c r="M28" s="92">
        <v>39169092</v>
      </c>
      <c r="N28" s="88" t="s">
        <v>169</v>
      </c>
      <c r="O28" s="88"/>
    </row>
    <row r="29" spans="1:15" ht="20.100000000000001" customHeight="1">
      <c r="A29" s="90">
        <f t="shared" si="6"/>
        <v>19</v>
      </c>
      <c r="B29" s="90" t="s">
        <v>75</v>
      </c>
      <c r="C29" s="65">
        <v>2.875</v>
      </c>
      <c r="D29" s="54">
        <f>4140*167/1000</f>
        <v>691.38</v>
      </c>
      <c r="E29" s="66">
        <v>30</v>
      </c>
      <c r="F29" s="90">
        <f>_xlfn.IFNA(VLOOKUP(B29,'PACKING LIST'!$B$35:$F$54,5,FALSE),0)</f>
        <v>240</v>
      </c>
      <c r="G29" s="87">
        <f t="shared" si="9"/>
        <v>8</v>
      </c>
      <c r="H29" s="48">
        <f>F29*D29</f>
        <v>165931.20000000001</v>
      </c>
      <c r="I29" s="53"/>
      <c r="J29" s="53">
        <f>G29*1</f>
        <v>8</v>
      </c>
      <c r="K29" s="51">
        <f t="shared" si="2"/>
        <v>165939.20000000001</v>
      </c>
      <c r="L29" s="51" t="s">
        <v>52</v>
      </c>
      <c r="M29" s="92">
        <v>39169092</v>
      </c>
      <c r="N29" s="88" t="s">
        <v>169</v>
      </c>
      <c r="O29" s="88"/>
    </row>
    <row r="30" spans="1:15" ht="20.100000000000001" customHeight="1">
      <c r="A30" s="90">
        <f t="shared" si="6"/>
        <v>20</v>
      </c>
      <c r="B30" s="90" t="s">
        <v>76</v>
      </c>
      <c r="C30" s="65">
        <v>3.0169999999999999</v>
      </c>
      <c r="D30" s="54">
        <f>4416*167/1000</f>
        <v>737.47199999999998</v>
      </c>
      <c r="E30" s="66">
        <v>30</v>
      </c>
      <c r="F30" s="90">
        <f>_xlfn.IFNA(VLOOKUP(B30,'PACKING LIST'!$B$35:$F$54,5,FALSE),0)</f>
        <v>0</v>
      </c>
      <c r="G30" s="87">
        <f t="shared" si="9"/>
        <v>0</v>
      </c>
      <c r="H30" s="48">
        <f>F30*D30</f>
        <v>0</v>
      </c>
      <c r="I30" s="53"/>
      <c r="J30" s="53">
        <f t="shared" ref="J30:J40" si="31">G30*1</f>
        <v>0</v>
      </c>
      <c r="K30" s="51">
        <f t="shared" si="2"/>
        <v>0</v>
      </c>
      <c r="L30" s="51" t="s">
        <v>52</v>
      </c>
      <c r="M30" s="92">
        <v>39169092</v>
      </c>
      <c r="N30" s="88" t="s">
        <v>169</v>
      </c>
      <c r="O30" s="88"/>
    </row>
    <row r="31" spans="1:15" ht="20.100000000000001" customHeight="1">
      <c r="A31" s="90">
        <f t="shared" si="6"/>
        <v>21</v>
      </c>
      <c r="B31" s="90" t="s">
        <v>99</v>
      </c>
      <c r="C31" s="65">
        <v>3.2290000000000001</v>
      </c>
      <c r="D31" s="54">
        <f>0.77*1000</f>
        <v>770</v>
      </c>
      <c r="E31" s="66">
        <v>30</v>
      </c>
      <c r="F31" s="90">
        <f>_xlfn.IFNA(VLOOKUP(B31,'PACKING LIST'!$B$35:$F$54,5,FALSE),0)</f>
        <v>0</v>
      </c>
      <c r="G31" s="87">
        <f t="shared" si="9"/>
        <v>0</v>
      </c>
      <c r="H31" s="48">
        <f t="shared" ref="H31:H34" si="32">F31*D31</f>
        <v>0</v>
      </c>
      <c r="I31" s="53"/>
      <c r="J31" s="53">
        <f t="shared" si="31"/>
        <v>0</v>
      </c>
      <c r="K31" s="51">
        <f t="shared" si="2"/>
        <v>0</v>
      </c>
      <c r="L31" s="51" t="s">
        <v>52</v>
      </c>
      <c r="M31" s="92">
        <v>39169092</v>
      </c>
      <c r="N31" s="88" t="s">
        <v>169</v>
      </c>
      <c r="O31" s="88"/>
    </row>
    <row r="32" spans="1:15" ht="20.100000000000001" customHeight="1">
      <c r="A32" s="90">
        <f t="shared" si="6"/>
        <v>22</v>
      </c>
      <c r="B32" s="90" t="s">
        <v>100</v>
      </c>
      <c r="C32" s="65">
        <v>3.1579999999999999</v>
      </c>
      <c r="D32" s="54">
        <f>0.84*1000</f>
        <v>840</v>
      </c>
      <c r="E32" s="66">
        <v>30</v>
      </c>
      <c r="F32" s="90">
        <f>_xlfn.IFNA(VLOOKUP(B32,'PACKING LIST'!$B$35:$F$54,5,FALSE),0)</f>
        <v>0</v>
      </c>
      <c r="G32" s="87">
        <f t="shared" si="9"/>
        <v>0</v>
      </c>
      <c r="H32" s="48">
        <f t="shared" si="32"/>
        <v>0</v>
      </c>
      <c r="I32" s="53"/>
      <c r="J32" s="53">
        <f t="shared" si="31"/>
        <v>0</v>
      </c>
      <c r="K32" s="51">
        <f t="shared" si="2"/>
        <v>0</v>
      </c>
      <c r="L32" s="51" t="s">
        <v>52</v>
      </c>
      <c r="M32" s="92">
        <v>39169092</v>
      </c>
      <c r="N32" s="88" t="s">
        <v>169</v>
      </c>
      <c r="O32" s="88"/>
    </row>
    <row r="33" spans="1:16" ht="20.100000000000001" customHeight="1">
      <c r="A33" s="90">
        <f t="shared" si="6"/>
        <v>23</v>
      </c>
      <c r="B33" s="90" t="s">
        <v>101</v>
      </c>
      <c r="C33" s="65">
        <v>2.5089999999999999</v>
      </c>
      <c r="D33" s="54">
        <f>0.624*1000</f>
        <v>624</v>
      </c>
      <c r="E33" s="66">
        <v>30</v>
      </c>
      <c r="F33" s="90">
        <f>_xlfn.IFNA(VLOOKUP(B33,'PACKING LIST'!$B$35:$F$54,5,FALSE),0)</f>
        <v>0</v>
      </c>
      <c r="G33" s="87">
        <f t="shared" si="9"/>
        <v>0</v>
      </c>
      <c r="H33" s="48">
        <f t="shared" si="32"/>
        <v>0</v>
      </c>
      <c r="I33" s="53"/>
      <c r="J33" s="53">
        <f t="shared" si="31"/>
        <v>0</v>
      </c>
      <c r="K33" s="51">
        <f t="shared" si="2"/>
        <v>0</v>
      </c>
      <c r="L33" s="51" t="s">
        <v>52</v>
      </c>
      <c r="M33" s="92">
        <v>39169092</v>
      </c>
      <c r="N33" s="88" t="s">
        <v>169</v>
      </c>
      <c r="O33" s="88"/>
    </row>
    <row r="34" spans="1:16" ht="20.100000000000001" customHeight="1">
      <c r="A34" s="90">
        <f t="shared" si="6"/>
        <v>24</v>
      </c>
      <c r="B34" s="90" t="s">
        <v>102</v>
      </c>
      <c r="C34" s="65">
        <v>2.698</v>
      </c>
      <c r="D34" s="54">
        <f>0.673*1000</f>
        <v>673</v>
      </c>
      <c r="E34" s="66">
        <v>30</v>
      </c>
      <c r="F34" s="90">
        <f>_xlfn.IFNA(VLOOKUP(B34,'PACKING LIST'!$B$35:$F$54,5,FALSE),0)</f>
        <v>0</v>
      </c>
      <c r="G34" s="87">
        <f t="shared" si="9"/>
        <v>0</v>
      </c>
      <c r="H34" s="48">
        <f t="shared" si="32"/>
        <v>0</v>
      </c>
      <c r="I34" s="53"/>
      <c r="J34" s="53">
        <f t="shared" si="31"/>
        <v>0</v>
      </c>
      <c r="K34" s="51">
        <f t="shared" si="2"/>
        <v>0</v>
      </c>
      <c r="L34" s="51" t="s">
        <v>52</v>
      </c>
      <c r="M34" s="92">
        <v>39169092</v>
      </c>
      <c r="N34" s="88" t="s">
        <v>169</v>
      </c>
      <c r="O34" s="88"/>
    </row>
    <row r="35" spans="1:16" ht="20.100000000000001" customHeight="1">
      <c r="A35" s="90">
        <f t="shared" si="6"/>
        <v>25</v>
      </c>
      <c r="B35" s="90" t="s">
        <v>127</v>
      </c>
      <c r="C35" s="85">
        <v>0.2046</v>
      </c>
      <c r="D35" s="54">
        <v>21.6</v>
      </c>
      <c r="E35" s="66">
        <v>500</v>
      </c>
      <c r="F35" s="90">
        <f>_xlfn.IFNA(VLOOKUP(B35,'PACKING LIST'!$B$35:$F$54,5,FALSE),0)</f>
        <v>0</v>
      </c>
      <c r="G35" s="87">
        <f t="shared" si="9"/>
        <v>0</v>
      </c>
      <c r="H35" s="48">
        <f>F35*D35/1000</f>
        <v>0</v>
      </c>
      <c r="I35" s="53"/>
      <c r="J35" s="53">
        <f t="shared" si="31"/>
        <v>0</v>
      </c>
      <c r="K35" s="51">
        <f t="shared" si="2"/>
        <v>0</v>
      </c>
      <c r="L35" s="51" t="s">
        <v>52</v>
      </c>
      <c r="M35" s="92">
        <v>39169092</v>
      </c>
      <c r="N35" s="88" t="s">
        <v>169</v>
      </c>
      <c r="O35" s="88"/>
    </row>
    <row r="36" spans="1:16" ht="20.100000000000001" customHeight="1">
      <c r="A36" s="90">
        <f t="shared" si="6"/>
        <v>26</v>
      </c>
      <c r="B36" s="90" t="s">
        <v>77</v>
      </c>
      <c r="C36" s="105">
        <v>0.23400000000000001</v>
      </c>
      <c r="D36" s="54">
        <v>24</v>
      </c>
      <c r="E36" s="66">
        <v>500</v>
      </c>
      <c r="F36" s="90">
        <f>_xlfn.IFNA(VLOOKUP(B36,'PACKING LIST'!$B$35:$F$54,5,FALSE),0)</f>
        <v>0</v>
      </c>
      <c r="G36" s="87">
        <f t="shared" si="9"/>
        <v>0</v>
      </c>
      <c r="H36" s="48">
        <f t="shared" ref="H36:H40" si="33">F36*D36/1000</f>
        <v>0</v>
      </c>
      <c r="I36" s="53"/>
      <c r="J36" s="53">
        <f t="shared" si="31"/>
        <v>0</v>
      </c>
      <c r="K36" s="51">
        <f t="shared" si="2"/>
        <v>0</v>
      </c>
      <c r="L36" s="51" t="s">
        <v>52</v>
      </c>
      <c r="M36" s="92">
        <v>39169092</v>
      </c>
      <c r="N36" s="88" t="s">
        <v>169</v>
      </c>
      <c r="O36" s="88"/>
      <c r="P36" s="68">
        <f>263636+165000</f>
        <v>428636</v>
      </c>
    </row>
    <row r="37" spans="1:16" ht="20.100000000000001" customHeight="1">
      <c r="A37" s="90"/>
      <c r="B37" s="90" t="s">
        <v>103</v>
      </c>
      <c r="C37" s="105">
        <v>0.224</v>
      </c>
      <c r="D37" s="54">
        <v>24</v>
      </c>
      <c r="E37" s="66">
        <v>500</v>
      </c>
      <c r="F37" s="90">
        <f>_xlfn.IFNA(VLOOKUP(B37,'PACKING LIST'!$B$35:$F$54,5,FALSE),0)</f>
        <v>0</v>
      </c>
      <c r="G37" s="87">
        <f t="shared" ref="G37" si="34">ROUNDUP(F37/E37,0)</f>
        <v>0</v>
      </c>
      <c r="H37" s="48">
        <f t="shared" ref="H37" si="35">F37*D37/1000</f>
        <v>0</v>
      </c>
      <c r="I37" s="53"/>
      <c r="J37" s="53">
        <f t="shared" ref="J37" si="36">G37*1</f>
        <v>0</v>
      </c>
      <c r="K37" s="51">
        <f t="shared" ref="K37" si="37">J37+I37+H37</f>
        <v>0</v>
      </c>
      <c r="L37" s="51" t="s">
        <v>52</v>
      </c>
      <c r="M37" s="92">
        <v>39169092</v>
      </c>
      <c r="N37" s="88" t="s">
        <v>169</v>
      </c>
      <c r="O37" s="88"/>
      <c r="P37" s="68"/>
    </row>
    <row r="38" spans="1:16" ht="20.100000000000001" customHeight="1">
      <c r="A38" s="90"/>
      <c r="B38" s="90" t="s">
        <v>64</v>
      </c>
      <c r="C38" s="105">
        <v>0.224</v>
      </c>
      <c r="D38" s="54">
        <v>24</v>
      </c>
      <c r="E38" s="66">
        <v>500</v>
      </c>
      <c r="F38" s="90">
        <f>_xlfn.IFNA(VLOOKUP(B38,'PACKING LIST'!$B$35:$F$54,5,FALSE),0)</f>
        <v>0</v>
      </c>
      <c r="G38" s="87">
        <f t="shared" ref="G38" si="38">ROUNDUP(F38/E38,0)</f>
        <v>0</v>
      </c>
      <c r="H38" s="48">
        <f t="shared" ref="H38" si="39">F38*D38/1000</f>
        <v>0</v>
      </c>
      <c r="I38" s="53"/>
      <c r="J38" s="53">
        <f t="shared" ref="J38" si="40">G38*1</f>
        <v>0</v>
      </c>
      <c r="K38" s="51">
        <f t="shared" ref="K38" si="41">J38+I38+H38</f>
        <v>0</v>
      </c>
      <c r="L38" s="51" t="s">
        <v>52</v>
      </c>
      <c r="M38" s="92">
        <v>39169092</v>
      </c>
      <c r="N38" s="88" t="s">
        <v>169</v>
      </c>
      <c r="O38" s="88"/>
      <c r="P38" s="68"/>
    </row>
    <row r="39" spans="1:16" ht="20.100000000000001" customHeight="1">
      <c r="A39" s="90">
        <f>A36+1</f>
        <v>27</v>
      </c>
      <c r="B39" s="90" t="s">
        <v>78</v>
      </c>
      <c r="C39" s="105">
        <v>0.22800000000000001</v>
      </c>
      <c r="D39" s="54">
        <v>21.7</v>
      </c>
      <c r="E39" s="66">
        <v>500</v>
      </c>
      <c r="F39" s="90">
        <f>_xlfn.IFNA(VLOOKUP(B39,'PACKING LIST'!$B$35:$F$54,5,FALSE),0)</f>
        <v>0</v>
      </c>
      <c r="G39" s="87">
        <f t="shared" si="9"/>
        <v>0</v>
      </c>
      <c r="H39" s="48">
        <f t="shared" si="33"/>
        <v>0</v>
      </c>
      <c r="I39" s="53"/>
      <c r="J39" s="53">
        <f t="shared" si="31"/>
        <v>0</v>
      </c>
      <c r="K39" s="51">
        <f t="shared" si="2"/>
        <v>0</v>
      </c>
      <c r="L39" s="51" t="s">
        <v>52</v>
      </c>
      <c r="M39" s="92">
        <v>39169092</v>
      </c>
      <c r="N39" s="88" t="s">
        <v>169</v>
      </c>
      <c r="O39" s="88"/>
    </row>
    <row r="40" spans="1:16" ht="20.100000000000001" customHeight="1">
      <c r="A40" s="90">
        <f t="shared" si="6"/>
        <v>28</v>
      </c>
      <c r="B40" s="90" t="s">
        <v>104</v>
      </c>
      <c r="C40" s="105">
        <v>0.22900000000000001</v>
      </c>
      <c r="D40" s="54">
        <v>22.1</v>
      </c>
      <c r="E40" s="66">
        <v>500</v>
      </c>
      <c r="F40" s="90">
        <f>_xlfn.IFNA(VLOOKUP(B40,'PACKING LIST'!$B$35:$F$54,5,FALSE),0)</f>
        <v>0</v>
      </c>
      <c r="G40" s="87">
        <f t="shared" si="9"/>
        <v>0</v>
      </c>
      <c r="H40" s="48">
        <f t="shared" si="33"/>
        <v>0</v>
      </c>
      <c r="I40" s="53"/>
      <c r="J40" s="53">
        <f t="shared" si="31"/>
        <v>0</v>
      </c>
      <c r="K40" s="51">
        <f t="shared" si="2"/>
        <v>0</v>
      </c>
      <c r="L40" s="51" t="s">
        <v>52</v>
      </c>
      <c r="M40" s="92">
        <v>39169092</v>
      </c>
      <c r="N40" s="88" t="s">
        <v>169</v>
      </c>
      <c r="O40" s="88"/>
    </row>
    <row r="41" spans="1:16" ht="20.100000000000001" customHeight="1">
      <c r="A41" s="90">
        <f t="shared" si="6"/>
        <v>29</v>
      </c>
      <c r="B41" s="90" t="s">
        <v>63</v>
      </c>
      <c r="C41" s="105">
        <v>0.251</v>
      </c>
      <c r="D41" s="54">
        <v>25</v>
      </c>
      <c r="E41" s="66">
        <v>500</v>
      </c>
      <c r="F41" s="90">
        <f>_xlfn.IFNA(VLOOKUP(B41,'PACKING LIST'!$B$35:$F$54,5,FALSE),0)</f>
        <v>0</v>
      </c>
      <c r="G41" s="87">
        <f>ROUNDUP(F41/E41,0)</f>
        <v>0</v>
      </c>
      <c r="H41" s="48">
        <f t="shared" ref="H41" si="42">F41*D41/1000</f>
        <v>0</v>
      </c>
      <c r="I41" s="53"/>
      <c r="J41" s="53">
        <f t="shared" ref="J41" si="43">G41*1</f>
        <v>0</v>
      </c>
      <c r="K41" s="51">
        <f t="shared" ref="K41:K43" si="44">J41+I41+H41</f>
        <v>0</v>
      </c>
      <c r="L41" s="51" t="s">
        <v>52</v>
      </c>
      <c r="M41" s="92">
        <v>39169092</v>
      </c>
      <c r="N41" s="88" t="s">
        <v>169</v>
      </c>
      <c r="O41" s="88"/>
    </row>
    <row r="42" spans="1:16" ht="20.100000000000001" customHeight="1">
      <c r="A42" s="90">
        <f t="shared" si="6"/>
        <v>30</v>
      </c>
      <c r="B42" s="90" t="s">
        <v>183</v>
      </c>
      <c r="C42" s="118">
        <v>0.251</v>
      </c>
      <c r="D42" s="54">
        <v>25</v>
      </c>
      <c r="E42" s="66">
        <v>500</v>
      </c>
      <c r="F42" s="90">
        <f>_xlfn.IFNA(VLOOKUP(B42,'PACKING LIST'!$B$35:$F$54,5,FALSE),0)</f>
        <v>9000</v>
      </c>
      <c r="G42" s="87">
        <f>ROUNDUP(F42/E42,0)</f>
        <v>18</v>
      </c>
      <c r="H42" s="48">
        <f>F42*D42/1000</f>
        <v>225</v>
      </c>
      <c r="I42" s="53"/>
      <c r="J42" s="53">
        <f t="shared" ref="J42:J62" si="45">G42*1</f>
        <v>18</v>
      </c>
      <c r="K42" s="51">
        <f>J42+I42+H42</f>
        <v>243</v>
      </c>
      <c r="L42" s="51" t="s">
        <v>52</v>
      </c>
      <c r="M42" s="92">
        <v>39169092</v>
      </c>
      <c r="N42" s="88" t="s">
        <v>169</v>
      </c>
      <c r="O42" s="88"/>
    </row>
    <row r="43" spans="1:16" ht="20.100000000000001" customHeight="1">
      <c r="A43" s="90">
        <f>A41+1</f>
        <v>30</v>
      </c>
      <c r="B43" s="90" t="s">
        <v>83</v>
      </c>
      <c r="C43" s="105">
        <v>0.224</v>
      </c>
      <c r="D43" s="54">
        <v>23</v>
      </c>
      <c r="E43" s="66">
        <v>500</v>
      </c>
      <c r="F43" s="90">
        <f>_xlfn.IFNA(VLOOKUP(B43,'PACKING LIST'!$B$35:$F$54,5,FALSE),0)</f>
        <v>5500</v>
      </c>
      <c r="G43" s="87">
        <f t="shared" ref="G43" si="46">ROUNDUP(F43/E43,0)</f>
        <v>11</v>
      </c>
      <c r="H43" s="48">
        <f t="shared" ref="H43:H72" si="47">F43*D43/1000</f>
        <v>126.5</v>
      </c>
      <c r="I43" s="53"/>
      <c r="J43" s="53">
        <f t="shared" si="45"/>
        <v>11</v>
      </c>
      <c r="K43" s="51">
        <f t="shared" si="44"/>
        <v>137.5</v>
      </c>
      <c r="L43" s="51" t="s">
        <v>52</v>
      </c>
      <c r="M43" s="92">
        <v>39169092</v>
      </c>
      <c r="N43" s="88" t="s">
        <v>169</v>
      </c>
      <c r="O43" s="88"/>
    </row>
    <row r="44" spans="1:16" ht="20.100000000000001" customHeight="1">
      <c r="A44" s="90">
        <f t="shared" si="6"/>
        <v>31</v>
      </c>
      <c r="B44" s="90" t="s">
        <v>105</v>
      </c>
      <c r="C44" s="105">
        <v>0.23300000000000001</v>
      </c>
      <c r="D44" s="54">
        <v>22.8</v>
      </c>
      <c r="E44" s="66">
        <v>500</v>
      </c>
      <c r="F44" s="90">
        <f>_xlfn.IFNA(VLOOKUP(B44,'PACKING LIST'!$B$35:$F$54,5,FALSE),0)</f>
        <v>0</v>
      </c>
      <c r="G44" s="87">
        <f t="shared" si="9"/>
        <v>0</v>
      </c>
      <c r="H44" s="48">
        <f t="shared" si="47"/>
        <v>0</v>
      </c>
      <c r="I44" s="53"/>
      <c r="J44" s="53">
        <f t="shared" si="45"/>
        <v>0</v>
      </c>
      <c r="K44" s="51">
        <f t="shared" si="2"/>
        <v>0</v>
      </c>
      <c r="L44" s="51" t="s">
        <v>52</v>
      </c>
      <c r="M44" s="92">
        <v>39169092</v>
      </c>
      <c r="N44" s="88" t="s">
        <v>169</v>
      </c>
      <c r="O44" s="88"/>
    </row>
    <row r="45" spans="1:16" ht="20.100000000000001" customHeight="1">
      <c r="A45" s="90">
        <f t="shared" si="6"/>
        <v>32</v>
      </c>
      <c r="B45" s="79" t="s">
        <v>106</v>
      </c>
      <c r="C45" s="105">
        <v>0.23499999999999999</v>
      </c>
      <c r="D45" s="54">
        <v>23.5</v>
      </c>
      <c r="E45" s="66">
        <v>500</v>
      </c>
      <c r="F45" s="90">
        <f>_xlfn.IFNA(VLOOKUP(B45,'PACKING LIST'!$B$35:$F$54,5,FALSE),0)</f>
        <v>11000</v>
      </c>
      <c r="G45" s="87">
        <f>ROUNDUP(F45/E45,0)</f>
        <v>22</v>
      </c>
      <c r="H45" s="48">
        <f t="shared" si="47"/>
        <v>258.5</v>
      </c>
      <c r="I45" s="53"/>
      <c r="J45" s="53">
        <f t="shared" si="45"/>
        <v>22</v>
      </c>
      <c r="K45" s="51">
        <f>J45+I45+H45</f>
        <v>280.5</v>
      </c>
      <c r="L45" s="51" t="s">
        <v>52</v>
      </c>
      <c r="M45" s="92">
        <v>39169092</v>
      </c>
      <c r="N45" s="88" t="s">
        <v>169</v>
      </c>
      <c r="O45" s="88"/>
    </row>
    <row r="46" spans="1:16" ht="20.100000000000001" customHeight="1">
      <c r="A46" s="90"/>
      <c r="B46" s="90" t="s">
        <v>112</v>
      </c>
      <c r="C46" s="105">
        <v>0.223</v>
      </c>
      <c r="D46" s="54">
        <v>25</v>
      </c>
      <c r="E46" s="66">
        <v>500</v>
      </c>
      <c r="F46" s="90">
        <f>_xlfn.IFNA(VLOOKUP(B46,'PACKING LIST'!$B$35:$F$54,5,FALSE),0)</f>
        <v>0</v>
      </c>
      <c r="G46" s="87">
        <f t="shared" ref="G46" si="48">ROUNDUP(F46/E46,0)</f>
        <v>0</v>
      </c>
      <c r="H46" s="48">
        <f t="shared" si="47"/>
        <v>0</v>
      </c>
      <c r="I46" s="53"/>
      <c r="J46" s="53">
        <f t="shared" si="45"/>
        <v>0</v>
      </c>
      <c r="K46" s="51">
        <f t="shared" ref="K46:K51" si="49">J46+I46+H46</f>
        <v>0</v>
      </c>
      <c r="L46" s="51" t="s">
        <v>52</v>
      </c>
      <c r="M46" s="92">
        <v>39169092</v>
      </c>
      <c r="N46" s="88" t="s">
        <v>169</v>
      </c>
      <c r="O46" s="88"/>
    </row>
    <row r="47" spans="1:16" ht="20.100000000000001" customHeight="1">
      <c r="A47" s="90"/>
      <c r="B47" s="90" t="s">
        <v>113</v>
      </c>
      <c r="C47" s="105">
        <v>0.223</v>
      </c>
      <c r="D47" s="54">
        <v>25</v>
      </c>
      <c r="E47" s="66">
        <v>500</v>
      </c>
      <c r="F47" s="90">
        <f>_xlfn.IFNA(VLOOKUP(B47,'PACKING LIST'!$B$35:$F$54,5,FALSE),0)</f>
        <v>11000</v>
      </c>
      <c r="G47" s="87">
        <f t="shared" ref="G47:G53" si="50">ROUNDUP(F47/E47,0)</f>
        <v>22</v>
      </c>
      <c r="H47" s="48">
        <f t="shared" si="47"/>
        <v>275</v>
      </c>
      <c r="I47" s="53"/>
      <c r="J47" s="53">
        <f t="shared" si="45"/>
        <v>22</v>
      </c>
      <c r="K47" s="51">
        <f t="shared" ref="K47" si="51">J47+I47+H47</f>
        <v>297</v>
      </c>
      <c r="L47" s="51" t="s">
        <v>52</v>
      </c>
      <c r="M47" s="92">
        <v>39169092</v>
      </c>
      <c r="N47" s="88" t="s">
        <v>169</v>
      </c>
      <c r="O47" s="88"/>
    </row>
    <row r="48" spans="1:16" ht="20.100000000000001" customHeight="1">
      <c r="A48" s="90"/>
      <c r="B48" s="90" t="s">
        <v>184</v>
      </c>
      <c r="C48" s="105">
        <v>0.21299999999999999</v>
      </c>
      <c r="D48" s="54">
        <v>23.5</v>
      </c>
      <c r="E48" s="66">
        <v>500</v>
      </c>
      <c r="F48" s="90">
        <f>_xlfn.IFNA(VLOOKUP(B48,'PACKING LIST'!$B$35:$F$54,5,FALSE),0)</f>
        <v>6000</v>
      </c>
      <c r="G48" s="87">
        <f t="shared" si="50"/>
        <v>12</v>
      </c>
      <c r="H48" s="48">
        <f t="shared" si="47"/>
        <v>141</v>
      </c>
      <c r="I48" s="53"/>
      <c r="J48" s="53">
        <f t="shared" si="45"/>
        <v>12</v>
      </c>
      <c r="K48" s="51"/>
      <c r="L48" s="51" t="s">
        <v>52</v>
      </c>
      <c r="M48" s="92">
        <v>39169092</v>
      </c>
      <c r="N48" s="88" t="s">
        <v>169</v>
      </c>
      <c r="O48" s="88"/>
    </row>
    <row r="49" spans="1:16" ht="20.100000000000001" customHeight="1">
      <c r="A49" s="90"/>
      <c r="B49" s="90" t="s">
        <v>185</v>
      </c>
      <c r="C49" s="105">
        <v>0.223</v>
      </c>
      <c r="D49" s="54">
        <v>25</v>
      </c>
      <c r="E49" s="66">
        <v>500</v>
      </c>
      <c r="F49" s="90">
        <f>_xlfn.IFNA(VLOOKUP(B49,'PACKING LIST'!$B$35:$F$54,5,FALSE),0)</f>
        <v>5000</v>
      </c>
      <c r="G49" s="87">
        <f t="shared" si="50"/>
        <v>10</v>
      </c>
      <c r="H49" s="48">
        <f t="shared" si="47"/>
        <v>125</v>
      </c>
      <c r="I49" s="53"/>
      <c r="J49" s="53">
        <f t="shared" si="45"/>
        <v>10</v>
      </c>
      <c r="K49" s="51"/>
      <c r="L49" s="51" t="s">
        <v>52</v>
      </c>
      <c r="M49" s="92">
        <v>39169092</v>
      </c>
      <c r="N49" s="88" t="s">
        <v>169</v>
      </c>
      <c r="O49" s="88"/>
    </row>
    <row r="50" spans="1:16" ht="20.100000000000001" customHeight="1">
      <c r="A50" s="90">
        <f>A45+1</f>
        <v>33</v>
      </c>
      <c r="B50" s="90" t="s">
        <v>57</v>
      </c>
      <c r="C50" s="65">
        <v>1.22</v>
      </c>
      <c r="D50" s="70">
        <v>52</v>
      </c>
      <c r="E50" s="66">
        <v>100</v>
      </c>
      <c r="F50" s="90">
        <f>_xlfn.IFNA(VLOOKUP(B50,'PACKING LIST'!$B$35:$F$54,5,FALSE),0)</f>
        <v>0</v>
      </c>
      <c r="G50" s="87">
        <f t="shared" si="50"/>
        <v>0</v>
      </c>
      <c r="H50" s="48">
        <f t="shared" si="47"/>
        <v>0</v>
      </c>
      <c r="I50" s="53"/>
      <c r="J50" s="53">
        <f t="shared" si="45"/>
        <v>0</v>
      </c>
      <c r="K50" s="51">
        <f t="shared" si="49"/>
        <v>0</v>
      </c>
      <c r="L50" s="51" t="s">
        <v>52</v>
      </c>
      <c r="M50" s="92">
        <v>39172100</v>
      </c>
      <c r="N50" s="88" t="s">
        <v>170</v>
      </c>
      <c r="O50" s="88"/>
      <c r="P50" s="21" t="s">
        <v>107</v>
      </c>
    </row>
    <row r="51" spans="1:16" ht="20.100000000000001" customHeight="1">
      <c r="A51" s="90">
        <f t="shared" si="6"/>
        <v>34</v>
      </c>
      <c r="B51" s="90" t="s">
        <v>108</v>
      </c>
      <c r="C51" s="65">
        <v>4.8</v>
      </c>
      <c r="D51" s="51">
        <v>0.5</v>
      </c>
      <c r="E51" s="66">
        <v>20</v>
      </c>
      <c r="F51" s="90">
        <f>_xlfn.IFNA(VLOOKUP(B51,'PACKING LIST'!$B$35:$F$54,5,FALSE),0)</f>
        <v>0</v>
      </c>
      <c r="G51" s="87">
        <f t="shared" si="50"/>
        <v>0</v>
      </c>
      <c r="H51" s="48">
        <f t="shared" si="47"/>
        <v>0</v>
      </c>
      <c r="I51" s="53"/>
      <c r="J51" s="53">
        <f t="shared" si="45"/>
        <v>0</v>
      </c>
      <c r="K51" s="51">
        <f t="shared" si="49"/>
        <v>0</v>
      </c>
      <c r="L51" s="51" t="s">
        <v>52</v>
      </c>
      <c r="M51" s="92">
        <v>39172929</v>
      </c>
      <c r="N51" s="88" t="s">
        <v>170</v>
      </c>
      <c r="O51" s="88"/>
    </row>
    <row r="52" spans="1:16" ht="20.100000000000001" customHeight="1">
      <c r="A52" s="90">
        <f>A55+1</f>
        <v>36</v>
      </c>
      <c r="B52" s="90" t="s">
        <v>59</v>
      </c>
      <c r="C52" s="105">
        <v>0.95499999999999996</v>
      </c>
      <c r="D52" s="70">
        <v>72</v>
      </c>
      <c r="E52" s="66">
        <v>200</v>
      </c>
      <c r="F52" s="90">
        <f>_xlfn.IFNA(VLOOKUP(B52,'PACKING LIST'!$B$35:$F$54,5,FALSE),0)</f>
        <v>0</v>
      </c>
      <c r="G52" s="87">
        <f t="shared" si="50"/>
        <v>0</v>
      </c>
      <c r="H52" s="48">
        <f t="shared" si="47"/>
        <v>0</v>
      </c>
      <c r="I52" s="53"/>
      <c r="J52" s="53">
        <f t="shared" si="45"/>
        <v>0</v>
      </c>
      <c r="K52" s="51">
        <f t="shared" ref="K52" si="52">J52+I52+H52</f>
        <v>0</v>
      </c>
      <c r="L52" s="51" t="s">
        <v>52</v>
      </c>
      <c r="M52" s="92">
        <v>39169092</v>
      </c>
      <c r="N52" s="88" t="s">
        <v>169</v>
      </c>
      <c r="O52" s="88"/>
    </row>
    <row r="53" spans="1:16" ht="20.100000000000001" customHeight="1">
      <c r="A53" s="90"/>
      <c r="B53" s="90" t="s">
        <v>205</v>
      </c>
      <c r="C53" s="105">
        <v>30.35</v>
      </c>
      <c r="D53" s="70">
        <v>1500</v>
      </c>
      <c r="E53" s="128">
        <v>1</v>
      </c>
      <c r="F53" s="90">
        <f>_xlfn.IFNA(VLOOKUP(B53,'PACKING LIST'!$B$35:$F$54,5,FALSE),0)</f>
        <v>0</v>
      </c>
      <c r="G53" s="87">
        <f t="shared" si="50"/>
        <v>0</v>
      </c>
      <c r="H53" s="48">
        <f>F53*D53/1000</f>
        <v>0</v>
      </c>
      <c r="I53" s="53"/>
      <c r="J53" s="53">
        <f>G53*0.5</f>
        <v>0</v>
      </c>
      <c r="K53" s="51"/>
      <c r="L53" s="51" t="s">
        <v>204</v>
      </c>
      <c r="M53" s="92"/>
      <c r="N53" s="88"/>
      <c r="O53" s="88"/>
    </row>
    <row r="54" spans="1:16" ht="20.100000000000001" customHeight="1">
      <c r="A54" s="90"/>
      <c r="B54" s="90" t="s">
        <v>203</v>
      </c>
      <c r="C54" s="105">
        <v>31.5</v>
      </c>
      <c r="D54" s="70"/>
      <c r="E54" s="128">
        <v>1</v>
      </c>
      <c r="F54" s="90">
        <f>_xlfn.IFNA(VLOOKUP(B54,'PACKING LIST'!$B$35:$F$54,5,FALSE),0)</f>
        <v>0</v>
      </c>
      <c r="G54" s="87"/>
      <c r="H54" s="48">
        <f t="shared" si="47"/>
        <v>0</v>
      </c>
      <c r="I54" s="53"/>
      <c r="J54" s="53">
        <f t="shared" si="45"/>
        <v>0</v>
      </c>
      <c r="K54" s="51"/>
      <c r="L54" s="51" t="s">
        <v>204</v>
      </c>
      <c r="M54" s="92"/>
      <c r="N54" s="88"/>
      <c r="O54" s="88"/>
    </row>
    <row r="55" spans="1:16" ht="20.100000000000001" customHeight="1">
      <c r="A55" s="90">
        <f>A51+1</f>
        <v>35</v>
      </c>
      <c r="B55" s="90" t="s">
        <v>109</v>
      </c>
      <c r="C55" s="65">
        <v>0.24</v>
      </c>
      <c r="D55" s="65"/>
      <c r="E55" s="83">
        <v>400</v>
      </c>
      <c r="F55" s="90">
        <f>_xlfn.IFNA(VLOOKUP(B55,'PACKING LIST'!$B$35:$F$54,5,FALSE),0)</f>
        <v>0</v>
      </c>
      <c r="G55" s="87">
        <f>ROUNDUP(F55/E55,0)</f>
        <v>0</v>
      </c>
      <c r="H55" s="48">
        <f t="shared" si="47"/>
        <v>0</v>
      </c>
      <c r="I55" s="53"/>
      <c r="J55" s="53">
        <f t="shared" si="45"/>
        <v>0</v>
      </c>
      <c r="K55" s="51">
        <f>J55+I55+H55</f>
        <v>0</v>
      </c>
      <c r="L55" s="51" t="s">
        <v>52</v>
      </c>
      <c r="M55" s="92">
        <v>63079090</v>
      </c>
      <c r="N55" s="88" t="s">
        <v>170</v>
      </c>
      <c r="O55" s="88"/>
    </row>
    <row r="56" spans="1:16" ht="20.100000000000001" customHeight="1">
      <c r="A56" s="90"/>
      <c r="B56" s="90" t="s">
        <v>65</v>
      </c>
      <c r="C56" s="65">
        <v>0.26</v>
      </c>
      <c r="D56" s="54">
        <v>18.3</v>
      </c>
      <c r="E56" s="83">
        <v>400</v>
      </c>
      <c r="F56" s="90">
        <f>_xlfn.IFNA(VLOOKUP(B56,'PACKING LIST'!$B$35:$F$54,5,FALSE),0)</f>
        <v>0</v>
      </c>
      <c r="G56" s="87">
        <f>ROUNDUP(F56/E56,0)</f>
        <v>0</v>
      </c>
      <c r="H56" s="48">
        <f t="shared" si="47"/>
        <v>0</v>
      </c>
      <c r="I56" s="53"/>
      <c r="J56" s="53">
        <f t="shared" si="45"/>
        <v>0</v>
      </c>
      <c r="K56" s="51">
        <f>J56+I56+H56</f>
        <v>0</v>
      </c>
      <c r="L56" s="51" t="s">
        <v>48</v>
      </c>
      <c r="M56" s="92">
        <v>63079090</v>
      </c>
      <c r="N56" s="88" t="s">
        <v>170</v>
      </c>
      <c r="O56" s="88"/>
      <c r="P56" s="21">
        <v>34046</v>
      </c>
    </row>
    <row r="57" spans="1:16" ht="20.100000000000001" customHeight="1">
      <c r="A57" s="90">
        <f>A52+1</f>
        <v>37</v>
      </c>
      <c r="B57" s="90" t="s">
        <v>66</v>
      </c>
      <c r="C57" s="65">
        <v>0.25</v>
      </c>
      <c r="D57" s="54">
        <v>16.3</v>
      </c>
      <c r="E57" s="83">
        <v>400</v>
      </c>
      <c r="F57" s="90">
        <f>_xlfn.IFNA(VLOOKUP(B57,'PACKING LIST'!$B$35:$F$54,5,FALSE),0)</f>
        <v>0</v>
      </c>
      <c r="G57" s="87">
        <f t="shared" ref="G57:G60" si="53">ROUNDUP(F57/E57,0)</f>
        <v>0</v>
      </c>
      <c r="H57" s="48">
        <f t="shared" si="47"/>
        <v>0</v>
      </c>
      <c r="I57" s="53"/>
      <c r="J57" s="53">
        <f t="shared" si="45"/>
        <v>0</v>
      </c>
      <c r="K57" s="51">
        <f t="shared" ref="K57:K60" si="54">J57+I57+H57</f>
        <v>0</v>
      </c>
      <c r="L57" s="51" t="s">
        <v>48</v>
      </c>
      <c r="M57" s="92">
        <v>63079090</v>
      </c>
      <c r="N57" s="88" t="s">
        <v>170</v>
      </c>
      <c r="O57" s="88"/>
      <c r="P57" s="21">
        <v>34080</v>
      </c>
    </row>
    <row r="58" spans="1:16" ht="20.100000000000001" customHeight="1">
      <c r="A58" s="90"/>
      <c r="B58" s="90" t="s">
        <v>206</v>
      </c>
      <c r="C58" s="65">
        <v>0.2</v>
      </c>
      <c r="D58" s="54">
        <v>83.3</v>
      </c>
      <c r="E58" s="83">
        <v>120</v>
      </c>
      <c r="F58" s="90"/>
      <c r="G58" s="87"/>
      <c r="H58" s="48"/>
      <c r="I58" s="53"/>
      <c r="J58" s="53"/>
      <c r="K58" s="51"/>
      <c r="L58" s="51" t="s">
        <v>48</v>
      </c>
      <c r="M58" s="92"/>
      <c r="N58" s="88"/>
      <c r="O58" s="88"/>
    </row>
    <row r="59" spans="1:16" ht="20.100000000000001" customHeight="1">
      <c r="A59" s="90">
        <f>A57+1</f>
        <v>38</v>
      </c>
      <c r="B59" s="90" t="s">
        <v>32</v>
      </c>
      <c r="C59" s="65">
        <v>0.47</v>
      </c>
      <c r="D59" s="54">
        <v>34.6</v>
      </c>
      <c r="E59" s="83">
        <v>240</v>
      </c>
      <c r="F59" s="90">
        <f>_xlfn.IFNA(VLOOKUP(B59,'PACKING LIST'!$B$35:$F$54,5,FALSE),0)</f>
        <v>0</v>
      </c>
      <c r="G59" s="87">
        <f t="shared" si="53"/>
        <v>0</v>
      </c>
      <c r="H59" s="48">
        <f t="shared" si="47"/>
        <v>0</v>
      </c>
      <c r="I59" s="53"/>
      <c r="J59" s="53">
        <f t="shared" si="45"/>
        <v>0</v>
      </c>
      <c r="K59" s="51">
        <f t="shared" si="54"/>
        <v>0</v>
      </c>
      <c r="L59" s="51" t="s">
        <v>48</v>
      </c>
      <c r="M59" s="92">
        <v>63079090</v>
      </c>
      <c r="N59" s="88" t="s">
        <v>170</v>
      </c>
      <c r="O59" s="88"/>
      <c r="P59" s="21" t="s">
        <v>110</v>
      </c>
    </row>
    <row r="60" spans="1:16" ht="20.100000000000001" customHeight="1">
      <c r="A60" s="90">
        <f t="shared" si="6"/>
        <v>39</v>
      </c>
      <c r="B60" s="90" t="s">
        <v>80</v>
      </c>
      <c r="C60" s="65">
        <v>0.46</v>
      </c>
      <c r="D60" s="54">
        <v>28.3</v>
      </c>
      <c r="E60" s="83">
        <v>240</v>
      </c>
      <c r="F60" s="90">
        <f>_xlfn.IFNA(VLOOKUP(B60,'PACKING LIST'!$B$35:$F$54,5,FALSE),0)</f>
        <v>0</v>
      </c>
      <c r="G60" s="87">
        <f t="shared" si="53"/>
        <v>0</v>
      </c>
      <c r="H60" s="48">
        <f t="shared" si="47"/>
        <v>0</v>
      </c>
      <c r="I60" s="53"/>
      <c r="J60" s="53">
        <f t="shared" si="45"/>
        <v>0</v>
      </c>
      <c r="K60" s="51">
        <f t="shared" si="54"/>
        <v>0</v>
      </c>
      <c r="L60" s="51" t="s">
        <v>48</v>
      </c>
      <c r="M60" s="92">
        <v>63079090</v>
      </c>
      <c r="N60" s="88" t="s">
        <v>170</v>
      </c>
      <c r="O60" s="88"/>
      <c r="P60" s="21" t="s">
        <v>111</v>
      </c>
    </row>
    <row r="61" spans="1:16" ht="20.100000000000001" customHeight="1">
      <c r="A61" s="90"/>
      <c r="B61" s="90" t="s">
        <v>120</v>
      </c>
      <c r="C61" s="65">
        <v>0.26100000000000001</v>
      </c>
      <c r="D61" s="54">
        <f>132.5</f>
        <v>132.5</v>
      </c>
      <c r="E61" s="83">
        <v>40</v>
      </c>
      <c r="F61" s="90">
        <f>_xlfn.IFNA(VLOOKUP(B61,'PACKING LIST'!$B$35:$F$54,5,FALSE),0)</f>
        <v>0</v>
      </c>
      <c r="G61" s="87">
        <f>ROUNDUP(F61/E61,0)</f>
        <v>0</v>
      </c>
      <c r="H61" s="48">
        <f t="shared" si="47"/>
        <v>0</v>
      </c>
      <c r="I61" s="53"/>
      <c r="J61" s="53">
        <f t="shared" si="45"/>
        <v>0</v>
      </c>
      <c r="K61" s="51">
        <f t="shared" ref="K61:K71" si="55">J61+I61+H61</f>
        <v>0</v>
      </c>
      <c r="L61" s="51" t="s">
        <v>48</v>
      </c>
      <c r="M61" s="92">
        <v>63079090</v>
      </c>
      <c r="N61" s="88" t="s">
        <v>170</v>
      </c>
      <c r="O61" s="88"/>
      <c r="P61" s="21" t="s">
        <v>133</v>
      </c>
    </row>
    <row r="62" spans="1:16" ht="20.100000000000001" customHeight="1">
      <c r="A62" s="90"/>
      <c r="B62" s="90" t="s">
        <v>121</v>
      </c>
      <c r="C62" s="65">
        <v>1.7</v>
      </c>
      <c r="D62" s="54">
        <v>107.5</v>
      </c>
      <c r="E62" s="83">
        <v>40</v>
      </c>
      <c r="F62" s="90">
        <f>_xlfn.IFNA(VLOOKUP(B62,'PACKING LIST'!$B$35:$F$54,5,FALSE),0)</f>
        <v>0</v>
      </c>
      <c r="G62" s="87">
        <f t="shared" ref="G62:G70" si="56">ROUNDUP(F62/E62,0)</f>
        <v>0</v>
      </c>
      <c r="H62" s="48">
        <f t="shared" si="47"/>
        <v>0</v>
      </c>
      <c r="I62" s="53"/>
      <c r="J62" s="53">
        <f t="shared" si="45"/>
        <v>0</v>
      </c>
      <c r="K62" s="51">
        <f t="shared" si="55"/>
        <v>0</v>
      </c>
      <c r="L62" s="51" t="s">
        <v>48</v>
      </c>
      <c r="M62" s="92">
        <v>63079090</v>
      </c>
      <c r="N62" s="88" t="s">
        <v>170</v>
      </c>
      <c r="O62" s="88"/>
      <c r="P62" s="21" t="s">
        <v>134</v>
      </c>
    </row>
    <row r="63" spans="1:16" ht="20.100000000000001" customHeight="1">
      <c r="A63" s="90">
        <f>A60+1</f>
        <v>40</v>
      </c>
      <c r="B63" s="90" t="s">
        <v>129</v>
      </c>
      <c r="C63" s="65">
        <v>1.51</v>
      </c>
      <c r="D63" s="54">
        <v>40</v>
      </c>
      <c r="E63" s="83">
        <v>200</v>
      </c>
      <c r="F63" s="90">
        <f>_xlfn.IFNA(VLOOKUP(B63,'PACKING LIST'!$B$35:$F$54,5,FALSE),0)</f>
        <v>0</v>
      </c>
      <c r="G63" s="87">
        <f t="shared" si="56"/>
        <v>0</v>
      </c>
      <c r="H63" s="48">
        <f t="shared" si="47"/>
        <v>0</v>
      </c>
      <c r="I63" s="53"/>
      <c r="J63" s="53">
        <f t="shared" ref="J63:J70" si="57">G63*1</f>
        <v>0</v>
      </c>
      <c r="K63" s="51">
        <f t="shared" si="55"/>
        <v>0</v>
      </c>
      <c r="L63" s="51" t="s">
        <v>48</v>
      </c>
      <c r="M63" s="92">
        <v>63079090</v>
      </c>
      <c r="N63" s="88" t="s">
        <v>170</v>
      </c>
      <c r="O63" s="88"/>
      <c r="P63" s="21" t="s">
        <v>135</v>
      </c>
    </row>
    <row r="64" spans="1:16" ht="20.100000000000001" customHeight="1">
      <c r="A64" s="90">
        <f t="shared" si="6"/>
        <v>41</v>
      </c>
      <c r="B64" s="90" t="s">
        <v>130</v>
      </c>
      <c r="C64" s="65">
        <v>1.47</v>
      </c>
      <c r="D64" s="54">
        <v>35</v>
      </c>
      <c r="E64" s="83" t="s">
        <v>115</v>
      </c>
      <c r="F64" s="90">
        <f>_xlfn.IFNA(VLOOKUP(B64,'PACKING LIST'!$B$35:$F$54,5,FALSE),0)</f>
        <v>0</v>
      </c>
      <c r="G64" s="87" t="e">
        <f t="shared" si="56"/>
        <v>#VALUE!</v>
      </c>
      <c r="H64" s="48">
        <f t="shared" si="47"/>
        <v>0</v>
      </c>
      <c r="I64" s="53"/>
      <c r="J64" s="53" t="e">
        <f t="shared" si="57"/>
        <v>#VALUE!</v>
      </c>
      <c r="K64" s="51" t="e">
        <f t="shared" si="55"/>
        <v>#VALUE!</v>
      </c>
      <c r="L64" s="51" t="s">
        <v>48</v>
      </c>
      <c r="M64" s="92">
        <v>63079090</v>
      </c>
      <c r="N64" s="88" t="s">
        <v>170</v>
      </c>
      <c r="O64" s="88"/>
      <c r="P64" s="21" t="s">
        <v>136</v>
      </c>
    </row>
    <row r="65" spans="1:16" ht="20.100000000000001" customHeight="1">
      <c r="A65" s="90"/>
      <c r="B65" s="90" t="s">
        <v>137</v>
      </c>
      <c r="C65" s="65">
        <v>0.62</v>
      </c>
      <c r="D65" s="54">
        <v>50</v>
      </c>
      <c r="E65" s="83">
        <v>200</v>
      </c>
      <c r="F65" s="90"/>
      <c r="G65" s="87"/>
      <c r="H65" s="48">
        <f t="shared" si="47"/>
        <v>0</v>
      </c>
      <c r="I65" s="53"/>
      <c r="J65" s="53"/>
      <c r="K65" s="51"/>
      <c r="L65" s="51" t="s">
        <v>48</v>
      </c>
      <c r="M65" s="92">
        <v>63079090</v>
      </c>
      <c r="N65" s="88" t="s">
        <v>170</v>
      </c>
      <c r="O65" s="88"/>
      <c r="P65" s="21" t="s">
        <v>124</v>
      </c>
    </row>
    <row r="66" spans="1:16" ht="20.100000000000001" customHeight="1">
      <c r="A66" s="90"/>
      <c r="B66" s="90" t="s">
        <v>138</v>
      </c>
      <c r="C66" s="65">
        <v>0.59</v>
      </c>
      <c r="D66" s="54">
        <v>40</v>
      </c>
      <c r="E66" s="83">
        <v>200</v>
      </c>
      <c r="F66" s="90"/>
      <c r="G66" s="87"/>
      <c r="H66" s="48">
        <f t="shared" si="47"/>
        <v>0</v>
      </c>
      <c r="I66" s="53"/>
      <c r="J66" s="53"/>
      <c r="K66" s="51"/>
      <c r="L66" s="51" t="s">
        <v>48</v>
      </c>
      <c r="M66" s="92">
        <v>63079090</v>
      </c>
      <c r="N66" s="88" t="s">
        <v>170</v>
      </c>
      <c r="O66" s="88"/>
      <c r="P66" s="21" t="s">
        <v>125</v>
      </c>
    </row>
    <row r="67" spans="1:16" ht="20.100000000000001" customHeight="1">
      <c r="A67" s="90"/>
      <c r="B67" s="90" t="s">
        <v>139</v>
      </c>
      <c r="C67" s="65">
        <v>0.62</v>
      </c>
      <c r="D67" s="54">
        <v>50</v>
      </c>
      <c r="E67" s="83">
        <v>200</v>
      </c>
      <c r="F67" s="90"/>
      <c r="G67" s="87"/>
      <c r="H67" s="48">
        <f t="shared" si="47"/>
        <v>0</v>
      </c>
      <c r="I67" s="53"/>
      <c r="J67" s="53"/>
      <c r="K67" s="51"/>
      <c r="L67" s="51" t="s">
        <v>48</v>
      </c>
      <c r="M67" s="92">
        <v>63079090</v>
      </c>
      <c r="N67" s="88" t="s">
        <v>170</v>
      </c>
      <c r="O67" s="88"/>
      <c r="P67" s="21" t="s">
        <v>126</v>
      </c>
    </row>
    <row r="68" spans="1:16" ht="20.100000000000001" customHeight="1">
      <c r="A68" s="90"/>
      <c r="B68" s="90" t="s">
        <v>140</v>
      </c>
      <c r="C68" s="65">
        <v>0.59</v>
      </c>
      <c r="D68" s="54">
        <v>40</v>
      </c>
      <c r="E68" s="83">
        <v>200</v>
      </c>
      <c r="F68" s="90"/>
      <c r="G68" s="87"/>
      <c r="H68" s="48">
        <f t="shared" si="47"/>
        <v>0</v>
      </c>
      <c r="I68" s="53"/>
      <c r="J68" s="53"/>
      <c r="K68" s="51"/>
      <c r="L68" s="51" t="s">
        <v>48</v>
      </c>
      <c r="M68" s="92">
        <v>63079090</v>
      </c>
      <c r="N68" s="88" t="s">
        <v>170</v>
      </c>
      <c r="O68" s="88"/>
      <c r="P68" s="21" t="s">
        <v>125</v>
      </c>
    </row>
    <row r="69" spans="1:16">
      <c r="A69" s="90">
        <f>A64+1</f>
        <v>42</v>
      </c>
      <c r="B69" s="90" t="s">
        <v>131</v>
      </c>
      <c r="C69" s="65">
        <v>0.26</v>
      </c>
      <c r="D69" s="54">
        <v>50</v>
      </c>
      <c r="E69" s="83">
        <v>400</v>
      </c>
      <c r="F69" s="90">
        <f>_xlfn.IFNA(VLOOKUP(B69,'PACKING LIST'!$B$35:$F$54,5,FALSE),0)</f>
        <v>0</v>
      </c>
      <c r="G69" s="87">
        <f t="shared" si="56"/>
        <v>0</v>
      </c>
      <c r="H69" s="48">
        <f t="shared" si="47"/>
        <v>0</v>
      </c>
      <c r="I69" s="53"/>
      <c r="J69" s="53">
        <f t="shared" si="57"/>
        <v>0</v>
      </c>
      <c r="K69" s="51">
        <f t="shared" si="55"/>
        <v>0</v>
      </c>
      <c r="L69" s="51" t="s">
        <v>48</v>
      </c>
      <c r="M69" s="92">
        <v>63079090</v>
      </c>
      <c r="N69" s="88" t="s">
        <v>170</v>
      </c>
      <c r="O69" s="88"/>
    </row>
    <row r="70" spans="1:16">
      <c r="A70" s="90">
        <f t="shared" si="6"/>
        <v>43</v>
      </c>
      <c r="B70" s="90" t="s">
        <v>132</v>
      </c>
      <c r="C70" s="65">
        <v>0.26</v>
      </c>
      <c r="D70" s="54">
        <v>40</v>
      </c>
      <c r="E70" s="83">
        <v>400</v>
      </c>
      <c r="F70" s="90">
        <f>_xlfn.IFNA(VLOOKUP(B70,'PACKING LIST'!$B$35:$F$54,5,FALSE),0)</f>
        <v>0</v>
      </c>
      <c r="G70" s="87">
        <f t="shared" si="56"/>
        <v>0</v>
      </c>
      <c r="H70" s="48">
        <f t="shared" si="47"/>
        <v>0</v>
      </c>
      <c r="I70" s="53"/>
      <c r="J70" s="53">
        <f t="shared" si="57"/>
        <v>0</v>
      </c>
      <c r="K70" s="51">
        <f t="shared" si="55"/>
        <v>0</v>
      </c>
      <c r="L70" s="51" t="s">
        <v>48</v>
      </c>
      <c r="M70" s="92">
        <v>63079090</v>
      </c>
      <c r="N70" s="88" t="s">
        <v>170</v>
      </c>
      <c r="O70" s="88"/>
    </row>
    <row r="71" spans="1:16">
      <c r="A71" s="90">
        <f t="shared" si="6"/>
        <v>44</v>
      </c>
      <c r="B71" s="38" t="s">
        <v>114</v>
      </c>
      <c r="C71" s="65">
        <v>0.62</v>
      </c>
      <c r="D71" s="54">
        <v>50</v>
      </c>
      <c r="E71" s="83">
        <v>200</v>
      </c>
      <c r="F71" s="90">
        <f>_xlfn.IFNA(VLOOKUP(B71,'PACKING LIST'!$B$35:$F$54,5,FALSE),0)</f>
        <v>0</v>
      </c>
      <c r="G71" s="87">
        <v>1</v>
      </c>
      <c r="H71" s="48">
        <f t="shared" si="47"/>
        <v>0</v>
      </c>
      <c r="I71" s="53"/>
      <c r="J71" s="53">
        <f>G71*1</f>
        <v>1</v>
      </c>
      <c r="K71" s="51">
        <f t="shared" si="55"/>
        <v>1</v>
      </c>
      <c r="L71" s="51" t="s">
        <v>48</v>
      </c>
      <c r="M71" s="92">
        <v>63079090</v>
      </c>
      <c r="N71" s="88" t="s">
        <v>170</v>
      </c>
      <c r="O71" s="88"/>
      <c r="P71" s="21" t="s">
        <v>118</v>
      </c>
    </row>
    <row r="72" spans="1:16">
      <c r="A72" s="90">
        <f t="shared" si="6"/>
        <v>45</v>
      </c>
      <c r="B72" s="38" t="s">
        <v>116</v>
      </c>
      <c r="C72" s="65">
        <v>0.59</v>
      </c>
      <c r="D72" s="54">
        <v>40</v>
      </c>
      <c r="E72" s="83">
        <v>200</v>
      </c>
      <c r="F72" s="90">
        <f>_xlfn.IFNA(VLOOKUP(B72,'PACKING LIST'!$B$35:$F$54,5,FALSE),0)</f>
        <v>0</v>
      </c>
      <c r="G72" s="87">
        <f t="shared" ref="G72" si="58">ROUNDUP(F72/E72,0)</f>
        <v>0</v>
      </c>
      <c r="H72" s="48">
        <f t="shared" si="47"/>
        <v>0</v>
      </c>
      <c r="I72" s="53"/>
      <c r="J72" s="53">
        <f t="shared" ref="J72" si="59">G72*1</f>
        <v>0</v>
      </c>
      <c r="K72" s="51">
        <f t="shared" ref="K72" si="60">J72+I72+H72</f>
        <v>0</v>
      </c>
      <c r="L72" s="51" t="s">
        <v>48</v>
      </c>
      <c r="M72" s="92">
        <v>63079090</v>
      </c>
      <c r="N72" s="88" t="s">
        <v>170</v>
      </c>
      <c r="O72" s="88"/>
      <c r="P72" s="21" t="s">
        <v>117</v>
      </c>
    </row>
    <row r="73" spans="1:16">
      <c r="A73" s="90">
        <f t="shared" si="6"/>
        <v>46</v>
      </c>
      <c r="B73" s="38" t="s">
        <v>143</v>
      </c>
      <c r="C73" s="85">
        <v>0.105</v>
      </c>
      <c r="D73" s="54">
        <v>5.85</v>
      </c>
      <c r="E73" s="109">
        <v>1</v>
      </c>
      <c r="F73" s="90">
        <f>_xlfn.IFNA(VLOOKUP(B73,'PACKING LIST'!$B$35:$F$54,5,FALSE),0)</f>
        <v>0</v>
      </c>
      <c r="G73" s="87">
        <f t="shared" ref="G73" si="61">ROUNDUP(F73/E73,0)</f>
        <v>0</v>
      </c>
      <c r="H73" s="48">
        <f>F73*D73/1000</f>
        <v>0</v>
      </c>
      <c r="I73" s="53"/>
      <c r="J73" s="53">
        <v>3</v>
      </c>
      <c r="K73" s="51">
        <f>J73+I73+H73</f>
        <v>3</v>
      </c>
      <c r="L73" s="51" t="s">
        <v>48</v>
      </c>
      <c r="M73" s="92">
        <v>63079090</v>
      </c>
      <c r="N73" s="88" t="s">
        <v>170</v>
      </c>
      <c r="O73" s="88"/>
    </row>
    <row r="74" spans="1:16">
      <c r="A74" s="90">
        <f t="shared" si="6"/>
        <v>47</v>
      </c>
      <c r="B74" s="38" t="s">
        <v>144</v>
      </c>
      <c r="C74" s="85">
        <v>0.105</v>
      </c>
      <c r="D74" s="54">
        <v>5.85</v>
      </c>
      <c r="E74" s="109">
        <v>1</v>
      </c>
      <c r="F74" s="90">
        <f>_xlfn.IFNA(VLOOKUP(B74,'PACKING LIST'!$B$35:$F$54,5,FALSE),0)</f>
        <v>0</v>
      </c>
      <c r="G74" s="87">
        <f t="shared" ref="G74:G93" si="62">ROUNDUP(F74/E74,0)</f>
        <v>0</v>
      </c>
      <c r="H74" s="48">
        <f t="shared" ref="H74:H93" si="63">F74*D74/1000</f>
        <v>0</v>
      </c>
      <c r="I74" s="53"/>
      <c r="J74" s="53">
        <v>1</v>
      </c>
      <c r="K74" s="51">
        <f t="shared" ref="K74:K93" si="64">J74+I74+H74</f>
        <v>1</v>
      </c>
      <c r="L74" s="51" t="s">
        <v>48</v>
      </c>
      <c r="M74" s="92">
        <v>63079090</v>
      </c>
      <c r="N74" s="88" t="s">
        <v>170</v>
      </c>
      <c r="O74" s="88"/>
    </row>
    <row r="75" spans="1:16">
      <c r="A75" s="90"/>
      <c r="B75" s="38" t="s">
        <v>171</v>
      </c>
      <c r="C75" s="85">
        <v>0.105</v>
      </c>
      <c r="D75" s="54">
        <v>5.85</v>
      </c>
      <c r="E75" s="109">
        <v>1</v>
      </c>
      <c r="F75" s="90">
        <f>_xlfn.IFNA(VLOOKUP(B75,'PACKING LIST'!$B$35:$F$54,5,FALSE),0)</f>
        <v>0</v>
      </c>
      <c r="G75" s="87">
        <f t="shared" ref="G75:G78" si="65">ROUNDUP(F75/E75,0)</f>
        <v>0</v>
      </c>
      <c r="H75" s="48">
        <f t="shared" ref="H75:H78" si="66">F75*D75/1000</f>
        <v>0</v>
      </c>
      <c r="I75" s="53"/>
      <c r="J75" s="53">
        <v>1</v>
      </c>
      <c r="K75" s="51">
        <f t="shared" ref="K75:K78" si="67">J75+I75+H75</f>
        <v>1</v>
      </c>
      <c r="L75" s="51" t="s">
        <v>48</v>
      </c>
      <c r="M75" s="92"/>
      <c r="N75" s="88"/>
      <c r="O75" s="88"/>
    </row>
    <row r="76" spans="1:16">
      <c r="A76" s="90"/>
      <c r="B76" s="38" t="s">
        <v>173</v>
      </c>
      <c r="C76" s="85">
        <v>0.105</v>
      </c>
      <c r="D76" s="54">
        <v>5.85</v>
      </c>
      <c r="E76" s="109">
        <v>1</v>
      </c>
      <c r="F76" s="90">
        <f>_xlfn.IFNA(VLOOKUP(B76,'PACKING LIST'!$B$35:$F$54,5,FALSE),0)</f>
        <v>0</v>
      </c>
      <c r="G76" s="87">
        <f t="shared" si="65"/>
        <v>0</v>
      </c>
      <c r="H76" s="48">
        <f t="shared" si="66"/>
        <v>0</v>
      </c>
      <c r="I76" s="53"/>
      <c r="J76" s="53">
        <v>1</v>
      </c>
      <c r="K76" s="51">
        <f t="shared" si="67"/>
        <v>1</v>
      </c>
      <c r="L76" s="51" t="s">
        <v>48</v>
      </c>
      <c r="M76" s="92"/>
      <c r="N76" s="88"/>
      <c r="O76" s="88"/>
    </row>
    <row r="77" spans="1:16">
      <c r="A77" s="90"/>
      <c r="B77" s="38" t="s">
        <v>172</v>
      </c>
      <c r="C77" s="85">
        <v>0.105</v>
      </c>
      <c r="D77" s="54">
        <v>5.85</v>
      </c>
      <c r="E77" s="109">
        <v>1</v>
      </c>
      <c r="F77" s="90">
        <f>_xlfn.IFNA(VLOOKUP(B77,'PACKING LIST'!$B$35:$F$54,5,FALSE),0)</f>
        <v>0</v>
      </c>
      <c r="G77" s="87">
        <f t="shared" si="65"/>
        <v>0</v>
      </c>
      <c r="H77" s="48">
        <f t="shared" si="66"/>
        <v>0</v>
      </c>
      <c r="I77" s="53"/>
      <c r="J77" s="53">
        <v>1</v>
      </c>
      <c r="K77" s="51">
        <f t="shared" si="67"/>
        <v>1</v>
      </c>
      <c r="L77" s="51" t="s">
        <v>48</v>
      </c>
      <c r="M77" s="92"/>
      <c r="N77" s="88"/>
      <c r="O77" s="88"/>
    </row>
    <row r="78" spans="1:16">
      <c r="A78" s="90"/>
      <c r="B78" s="38" t="s">
        <v>174</v>
      </c>
      <c r="C78" s="85">
        <v>0.105</v>
      </c>
      <c r="D78" s="54">
        <v>5.85</v>
      </c>
      <c r="E78" s="109">
        <v>1</v>
      </c>
      <c r="F78" s="90">
        <f>_xlfn.IFNA(VLOOKUP(B78,'PACKING LIST'!$B$35:$F$54,5,FALSE),0)</f>
        <v>0</v>
      </c>
      <c r="G78" s="87">
        <f t="shared" si="65"/>
        <v>0</v>
      </c>
      <c r="H78" s="48">
        <f t="shared" si="66"/>
        <v>0</v>
      </c>
      <c r="I78" s="53"/>
      <c r="J78" s="53">
        <v>1</v>
      </c>
      <c r="K78" s="51">
        <f t="shared" si="67"/>
        <v>1</v>
      </c>
      <c r="L78" s="51" t="s">
        <v>48</v>
      </c>
      <c r="M78" s="92"/>
      <c r="N78" s="88"/>
      <c r="O78" s="88"/>
    </row>
    <row r="79" spans="1:16">
      <c r="A79" s="90">
        <f>A74+1</f>
        <v>48</v>
      </c>
      <c r="B79" s="90" t="s">
        <v>145</v>
      </c>
      <c r="C79" s="65">
        <v>0.42</v>
      </c>
      <c r="D79" s="54">
        <v>25</v>
      </c>
      <c r="E79" s="83">
        <v>240</v>
      </c>
      <c r="F79" s="90">
        <f>_xlfn.IFNA(VLOOKUP(B79,'[1]PACKING LIST'!$B$35:$E$48,4,FALSE),0)</f>
        <v>0</v>
      </c>
      <c r="G79" s="87">
        <f t="shared" si="62"/>
        <v>0</v>
      </c>
      <c r="H79" s="48">
        <f t="shared" si="63"/>
        <v>0</v>
      </c>
      <c r="I79" s="53"/>
      <c r="J79" s="53">
        <f t="shared" ref="J79:J88" si="68">G79*1.4</f>
        <v>0</v>
      </c>
      <c r="K79" s="51">
        <f t="shared" si="64"/>
        <v>0</v>
      </c>
      <c r="L79" s="51" t="s">
        <v>48</v>
      </c>
      <c r="M79" s="92">
        <v>63079090</v>
      </c>
      <c r="N79" s="88" t="s">
        <v>170</v>
      </c>
      <c r="O79" s="88"/>
      <c r="P79" s="21" t="s">
        <v>146</v>
      </c>
    </row>
    <row r="80" spans="1:16">
      <c r="A80" s="90">
        <f t="shared" si="6"/>
        <v>49</v>
      </c>
      <c r="B80" s="90" t="s">
        <v>147</v>
      </c>
      <c r="C80" s="65">
        <v>0.42</v>
      </c>
      <c r="D80" s="54">
        <v>24.5</v>
      </c>
      <c r="E80" s="83">
        <v>240</v>
      </c>
      <c r="F80" s="90">
        <f>_xlfn.IFNA(VLOOKUP(B80,'[1]PACKING LIST'!$B$35:$E$48,4,FALSE),0)</f>
        <v>0</v>
      </c>
      <c r="G80" s="87">
        <f t="shared" si="62"/>
        <v>0</v>
      </c>
      <c r="H80" s="48">
        <f t="shared" si="63"/>
        <v>0</v>
      </c>
      <c r="I80" s="53"/>
      <c r="J80" s="53">
        <f t="shared" si="68"/>
        <v>0</v>
      </c>
      <c r="K80" s="51">
        <f t="shared" si="64"/>
        <v>0</v>
      </c>
      <c r="L80" s="51" t="s">
        <v>48</v>
      </c>
      <c r="M80" s="92">
        <v>63079090</v>
      </c>
      <c r="N80" s="88" t="s">
        <v>170</v>
      </c>
      <c r="O80" s="88"/>
    </row>
    <row r="81" spans="1:16">
      <c r="A81" s="90">
        <f t="shared" si="6"/>
        <v>50</v>
      </c>
      <c r="B81" s="90" t="s">
        <v>148</v>
      </c>
      <c r="C81" s="65">
        <v>0.42</v>
      </c>
      <c r="D81" s="54">
        <v>24.5</v>
      </c>
      <c r="E81" s="83">
        <v>240</v>
      </c>
      <c r="F81" s="90">
        <f>_xlfn.IFNA(VLOOKUP(B81,'[1]PACKING LIST'!$B$35:$E$48,4,FALSE),0)</f>
        <v>0</v>
      </c>
      <c r="G81" s="87">
        <f t="shared" si="62"/>
        <v>0</v>
      </c>
      <c r="H81" s="48">
        <f t="shared" si="63"/>
        <v>0</v>
      </c>
      <c r="I81" s="53"/>
      <c r="J81" s="53">
        <f t="shared" si="68"/>
        <v>0</v>
      </c>
      <c r="K81" s="51">
        <f t="shared" si="64"/>
        <v>0</v>
      </c>
      <c r="L81" s="51" t="s">
        <v>48</v>
      </c>
      <c r="M81" s="92">
        <v>63079090</v>
      </c>
      <c r="N81" s="88" t="s">
        <v>170</v>
      </c>
      <c r="O81" s="88"/>
    </row>
    <row r="82" spans="1:16">
      <c r="A82" s="90">
        <f t="shared" si="6"/>
        <v>51</v>
      </c>
      <c r="B82" s="90" t="s">
        <v>149</v>
      </c>
      <c r="C82" s="65">
        <v>0.42</v>
      </c>
      <c r="D82" s="54">
        <v>24.5</v>
      </c>
      <c r="E82" s="83">
        <v>240</v>
      </c>
      <c r="F82" s="90">
        <f>_xlfn.IFNA(VLOOKUP(B82,'[1]PACKING LIST'!$B$35:$E$48,4,FALSE),0)</f>
        <v>0</v>
      </c>
      <c r="G82" s="87">
        <f t="shared" si="62"/>
        <v>0</v>
      </c>
      <c r="H82" s="48">
        <f t="shared" si="63"/>
        <v>0</v>
      </c>
      <c r="I82" s="53"/>
      <c r="J82" s="53">
        <f t="shared" si="68"/>
        <v>0</v>
      </c>
      <c r="K82" s="51">
        <f t="shared" si="64"/>
        <v>0</v>
      </c>
      <c r="L82" s="51" t="s">
        <v>48</v>
      </c>
      <c r="M82" s="92">
        <v>63079090</v>
      </c>
      <c r="N82" s="88" t="s">
        <v>170</v>
      </c>
      <c r="O82" s="88"/>
    </row>
    <row r="83" spans="1:16">
      <c r="A83" s="90">
        <f t="shared" si="6"/>
        <v>52</v>
      </c>
      <c r="B83" s="90" t="s">
        <v>150</v>
      </c>
      <c r="C83" s="65">
        <v>0.42</v>
      </c>
      <c r="D83" s="54">
        <v>24.5</v>
      </c>
      <c r="E83" s="83">
        <v>240</v>
      </c>
      <c r="F83" s="90">
        <f>_xlfn.IFNA(VLOOKUP(B83,'[1]PACKING LIST'!$B$35:$E$48,4,FALSE),0)</f>
        <v>0</v>
      </c>
      <c r="G83" s="87">
        <f t="shared" si="62"/>
        <v>0</v>
      </c>
      <c r="H83" s="48">
        <f t="shared" si="63"/>
        <v>0</v>
      </c>
      <c r="I83" s="53"/>
      <c r="J83" s="53">
        <f t="shared" si="68"/>
        <v>0</v>
      </c>
      <c r="K83" s="51">
        <f t="shared" si="64"/>
        <v>0</v>
      </c>
      <c r="L83" s="51" t="s">
        <v>48</v>
      </c>
      <c r="M83" s="92">
        <v>63079090</v>
      </c>
      <c r="N83" s="88" t="s">
        <v>170</v>
      </c>
      <c r="O83" s="88"/>
    </row>
    <row r="84" spans="1:16">
      <c r="A84" s="90">
        <f t="shared" si="6"/>
        <v>53</v>
      </c>
      <c r="B84" s="90" t="s">
        <v>151</v>
      </c>
      <c r="C84" s="65">
        <v>0.42</v>
      </c>
      <c r="D84" s="54">
        <v>24.5</v>
      </c>
      <c r="E84" s="83">
        <v>240</v>
      </c>
      <c r="F84" s="90">
        <f>_xlfn.IFNA(VLOOKUP(B84,'[1]PACKING LIST'!$B$35:$E$48,4,FALSE),0)</f>
        <v>0</v>
      </c>
      <c r="G84" s="87">
        <f t="shared" si="62"/>
        <v>0</v>
      </c>
      <c r="H84" s="48">
        <f t="shared" si="63"/>
        <v>0</v>
      </c>
      <c r="I84" s="53"/>
      <c r="J84" s="53">
        <f t="shared" si="68"/>
        <v>0</v>
      </c>
      <c r="K84" s="51">
        <f t="shared" si="64"/>
        <v>0</v>
      </c>
      <c r="L84" s="51" t="s">
        <v>48</v>
      </c>
      <c r="M84" s="92">
        <v>63079090</v>
      </c>
      <c r="N84" s="88" t="s">
        <v>170</v>
      </c>
      <c r="O84" s="88"/>
    </row>
    <row r="85" spans="1:16">
      <c r="A85" s="90">
        <f t="shared" si="6"/>
        <v>54</v>
      </c>
      <c r="B85" s="90" t="s">
        <v>152</v>
      </c>
      <c r="C85" s="65">
        <v>0.41</v>
      </c>
      <c r="D85" s="54">
        <v>20.5</v>
      </c>
      <c r="E85" s="83">
        <v>240</v>
      </c>
      <c r="F85" s="90">
        <f>_xlfn.IFNA(VLOOKUP(B85,'[1]PACKING LIST'!$B$35:$E$48,4,FALSE),0)</f>
        <v>0</v>
      </c>
      <c r="G85" s="87">
        <f t="shared" si="62"/>
        <v>0</v>
      </c>
      <c r="H85" s="48">
        <f t="shared" si="63"/>
        <v>0</v>
      </c>
      <c r="I85" s="53"/>
      <c r="J85" s="53">
        <f t="shared" si="68"/>
        <v>0</v>
      </c>
      <c r="K85" s="51">
        <f t="shared" si="64"/>
        <v>0</v>
      </c>
      <c r="L85" s="51" t="s">
        <v>48</v>
      </c>
      <c r="M85" s="92">
        <v>63079090</v>
      </c>
      <c r="N85" s="88" t="s">
        <v>170</v>
      </c>
      <c r="O85" s="88"/>
    </row>
    <row r="86" spans="1:16">
      <c r="A86" s="90">
        <f t="shared" si="6"/>
        <v>55</v>
      </c>
      <c r="B86" s="90" t="s">
        <v>153</v>
      </c>
      <c r="C86" s="65">
        <v>1.61</v>
      </c>
      <c r="D86" s="54">
        <v>135</v>
      </c>
      <c r="E86" s="90" t="s">
        <v>154</v>
      </c>
      <c r="F86" s="90">
        <f>_xlfn.IFNA(VLOOKUP(B86,'[1]PACKING LIST'!$B$35:$E$48,4,FALSE),0)</f>
        <v>3920</v>
      </c>
      <c r="G86" s="87" t="e">
        <f t="shared" si="62"/>
        <v>#VALUE!</v>
      </c>
      <c r="H86" s="48">
        <f t="shared" si="63"/>
        <v>529.20000000000005</v>
      </c>
      <c r="I86" s="53"/>
      <c r="J86" s="53" t="e">
        <f t="shared" si="68"/>
        <v>#VALUE!</v>
      </c>
      <c r="K86" s="51" t="e">
        <f t="shared" si="64"/>
        <v>#VALUE!</v>
      </c>
      <c r="L86" s="51" t="s">
        <v>48</v>
      </c>
      <c r="M86" s="92">
        <v>63079090</v>
      </c>
      <c r="N86" s="88" t="s">
        <v>170</v>
      </c>
      <c r="O86" s="88"/>
      <c r="P86" s="21" t="s">
        <v>133</v>
      </c>
    </row>
    <row r="87" spans="1:16">
      <c r="A87" s="90">
        <f t="shared" si="6"/>
        <v>56</v>
      </c>
      <c r="B87" s="90" t="s">
        <v>155</v>
      </c>
      <c r="C87" s="65">
        <v>1.61</v>
      </c>
      <c r="D87" s="54">
        <v>135</v>
      </c>
      <c r="E87" s="90" t="s">
        <v>154</v>
      </c>
      <c r="F87" s="90">
        <f>_xlfn.IFNA(VLOOKUP(B87,'[1]PACKING LIST'!$B$35:$E$48,4,FALSE),0)</f>
        <v>4000</v>
      </c>
      <c r="G87" s="87" t="e">
        <f t="shared" si="62"/>
        <v>#VALUE!</v>
      </c>
      <c r="H87" s="48">
        <f>F87*D87/1000</f>
        <v>540</v>
      </c>
      <c r="I87" s="53"/>
      <c r="J87" s="53" t="e">
        <f t="shared" si="68"/>
        <v>#VALUE!</v>
      </c>
      <c r="K87" s="51" t="e">
        <f t="shared" si="64"/>
        <v>#VALUE!</v>
      </c>
      <c r="L87" s="51" t="s">
        <v>48</v>
      </c>
      <c r="M87" s="92">
        <v>63079090</v>
      </c>
      <c r="N87" s="88" t="s">
        <v>170</v>
      </c>
      <c r="O87" s="88"/>
    </row>
    <row r="88" spans="1:16">
      <c r="A88" s="90">
        <f t="shared" si="6"/>
        <v>57</v>
      </c>
      <c r="B88" s="90" t="s">
        <v>156</v>
      </c>
      <c r="C88" s="65">
        <v>1.61</v>
      </c>
      <c r="D88" s="54">
        <v>135</v>
      </c>
      <c r="E88" s="90" t="s">
        <v>154</v>
      </c>
      <c r="F88" s="90">
        <f>_xlfn.IFNA(VLOOKUP(B88,'[1]PACKING LIST'!$B$35:$E$48,4,FALSE),0)</f>
        <v>0</v>
      </c>
      <c r="G88" s="87" t="e">
        <f t="shared" si="62"/>
        <v>#VALUE!</v>
      </c>
      <c r="H88" s="48">
        <f t="shared" si="63"/>
        <v>0</v>
      </c>
      <c r="I88" s="53"/>
      <c r="J88" s="53" t="e">
        <f t="shared" si="68"/>
        <v>#VALUE!</v>
      </c>
      <c r="K88" s="51" t="e">
        <f t="shared" si="64"/>
        <v>#VALUE!</v>
      </c>
      <c r="L88" s="51" t="s">
        <v>48</v>
      </c>
      <c r="M88" s="92">
        <v>63079090</v>
      </c>
      <c r="N88" s="88" t="s">
        <v>170</v>
      </c>
      <c r="O88" s="88"/>
    </row>
    <row r="89" spans="1:16">
      <c r="A89" s="90">
        <f t="shared" si="6"/>
        <v>58</v>
      </c>
      <c r="B89" s="90" t="s">
        <v>157</v>
      </c>
      <c r="C89" s="65">
        <v>1.61</v>
      </c>
      <c r="D89" s="54">
        <v>135</v>
      </c>
      <c r="E89" s="90" t="s">
        <v>154</v>
      </c>
      <c r="F89" s="90">
        <f>_xlfn.IFNA(VLOOKUP(B89,'[1]PACKING LIST'!$B$35:$E$48,4,FALSE),0)</f>
        <v>5000</v>
      </c>
      <c r="G89" s="87" t="e">
        <f t="shared" si="62"/>
        <v>#VALUE!</v>
      </c>
      <c r="H89" s="48">
        <f t="shared" si="63"/>
        <v>675</v>
      </c>
      <c r="I89" s="53"/>
      <c r="J89" s="53" t="e">
        <f>G89*1.4</f>
        <v>#VALUE!</v>
      </c>
      <c r="K89" s="51" t="e">
        <f t="shared" si="64"/>
        <v>#VALUE!</v>
      </c>
      <c r="L89" s="51" t="s">
        <v>48</v>
      </c>
      <c r="M89" s="92">
        <v>63079090</v>
      </c>
      <c r="N89" s="88" t="s">
        <v>170</v>
      </c>
      <c r="O89" s="88"/>
    </row>
    <row r="90" spans="1:16">
      <c r="A90" s="90">
        <f t="shared" si="6"/>
        <v>59</v>
      </c>
      <c r="B90" s="90" t="s">
        <v>158</v>
      </c>
      <c r="C90" s="65">
        <v>1.61</v>
      </c>
      <c r="D90" s="54">
        <v>135</v>
      </c>
      <c r="E90" s="90" t="s">
        <v>154</v>
      </c>
      <c r="F90" s="90">
        <f>_xlfn.IFNA(VLOOKUP(B90,'[1]PACKING LIST'!$B$35:$E$48,4,FALSE),0)</f>
        <v>5000</v>
      </c>
      <c r="G90" s="87" t="e">
        <f t="shared" si="62"/>
        <v>#VALUE!</v>
      </c>
      <c r="H90" s="48">
        <f t="shared" si="63"/>
        <v>675</v>
      </c>
      <c r="I90" s="53"/>
      <c r="J90" s="53" t="e">
        <f t="shared" ref="J90:J93" si="69">G90*1.4</f>
        <v>#VALUE!</v>
      </c>
      <c r="K90" s="51" t="e">
        <f t="shared" si="64"/>
        <v>#VALUE!</v>
      </c>
      <c r="L90" s="51" t="s">
        <v>48</v>
      </c>
      <c r="M90" s="92">
        <v>63079090</v>
      </c>
      <c r="N90" s="88" t="s">
        <v>170</v>
      </c>
      <c r="O90" s="88"/>
    </row>
    <row r="91" spans="1:16">
      <c r="A91" s="90">
        <f t="shared" si="6"/>
        <v>60</v>
      </c>
      <c r="B91" s="90" t="s">
        <v>159</v>
      </c>
      <c r="C91" s="65">
        <v>1.61</v>
      </c>
      <c r="D91" s="54">
        <v>135</v>
      </c>
      <c r="E91" s="90" t="s">
        <v>154</v>
      </c>
      <c r="F91" s="90">
        <f>_xlfn.IFNA(VLOOKUP(B91,'[1]PACKING LIST'!$B$35:$E$48,4,FALSE),0)</f>
        <v>2000</v>
      </c>
      <c r="G91" s="87" t="e">
        <f t="shared" si="62"/>
        <v>#VALUE!</v>
      </c>
      <c r="H91" s="48">
        <f t="shared" si="63"/>
        <v>270</v>
      </c>
      <c r="I91" s="53"/>
      <c r="J91" s="53" t="e">
        <f t="shared" si="69"/>
        <v>#VALUE!</v>
      </c>
      <c r="K91" s="51" t="e">
        <f t="shared" si="64"/>
        <v>#VALUE!</v>
      </c>
      <c r="L91" s="51" t="s">
        <v>48</v>
      </c>
      <c r="M91" s="92">
        <v>63079090</v>
      </c>
      <c r="N91" s="88" t="s">
        <v>170</v>
      </c>
      <c r="O91" s="88"/>
    </row>
    <row r="92" spans="1:16">
      <c r="A92" s="90">
        <f t="shared" si="6"/>
        <v>61</v>
      </c>
      <c r="B92" s="90" t="s">
        <v>160</v>
      </c>
      <c r="C92" s="65">
        <v>1.55</v>
      </c>
      <c r="D92" s="54">
        <v>135</v>
      </c>
      <c r="E92" s="90" t="s">
        <v>154</v>
      </c>
      <c r="F92" s="90">
        <f>_xlfn.IFNA(VLOOKUP(B92,'[1]PACKING LIST'!$B$35:$E$48,4,FALSE),0)</f>
        <v>0</v>
      </c>
      <c r="G92" s="87" t="e">
        <f t="shared" si="62"/>
        <v>#VALUE!</v>
      </c>
      <c r="H92" s="48">
        <f t="shared" si="63"/>
        <v>0</v>
      </c>
      <c r="I92" s="53"/>
      <c r="J92" s="53" t="e">
        <f t="shared" si="69"/>
        <v>#VALUE!</v>
      </c>
      <c r="K92" s="51" t="e">
        <f t="shared" si="64"/>
        <v>#VALUE!</v>
      </c>
      <c r="L92" s="51" t="s">
        <v>48</v>
      </c>
      <c r="M92" s="92">
        <v>63079090</v>
      </c>
      <c r="N92" s="88" t="s">
        <v>170</v>
      </c>
      <c r="O92" s="88"/>
    </row>
    <row r="93" spans="1:16">
      <c r="A93" s="90">
        <f t="shared" si="6"/>
        <v>62</v>
      </c>
      <c r="B93" s="90" t="s">
        <v>161</v>
      </c>
      <c r="C93" s="65">
        <v>1.61</v>
      </c>
      <c r="D93" s="54">
        <v>135</v>
      </c>
      <c r="E93" s="90" t="s">
        <v>154</v>
      </c>
      <c r="F93" s="90">
        <f>_xlfn.IFNA(VLOOKUP(B93,'[1]PACKING LIST'!$B$35:$E$48,4,FALSE),0)</f>
        <v>4000</v>
      </c>
      <c r="G93" s="87" t="e">
        <f t="shared" si="62"/>
        <v>#VALUE!</v>
      </c>
      <c r="H93" s="48">
        <f t="shared" si="63"/>
        <v>540</v>
      </c>
      <c r="I93" s="53"/>
      <c r="J93" s="53" t="e">
        <f t="shared" si="69"/>
        <v>#VALUE!</v>
      </c>
      <c r="K93" s="51" t="e">
        <f t="shared" si="64"/>
        <v>#VALUE!</v>
      </c>
      <c r="L93" s="51" t="s">
        <v>48</v>
      </c>
      <c r="M93" s="92">
        <v>63079090</v>
      </c>
      <c r="N93" s="88" t="s">
        <v>170</v>
      </c>
      <c r="O93" s="88"/>
    </row>
    <row r="94" spans="1:16">
      <c r="A94" s="90">
        <f t="shared" si="6"/>
        <v>63</v>
      </c>
      <c r="B94" s="90" t="s">
        <v>162</v>
      </c>
      <c r="C94" s="65">
        <v>1.61</v>
      </c>
      <c r="D94" s="54">
        <v>135</v>
      </c>
      <c r="E94" s="90" t="s">
        <v>154</v>
      </c>
      <c r="F94" s="90">
        <f>_xlfn.IFNA(VLOOKUP(B94,'[1]PACKING LIST'!$B$35:$E$48,4,FALSE),0)</f>
        <v>3320</v>
      </c>
      <c r="G94" s="87" t="e">
        <f t="shared" ref="G94" si="70">ROUNDUP(F94/E94,0)</f>
        <v>#VALUE!</v>
      </c>
      <c r="H94" s="48">
        <f t="shared" ref="H94" si="71">F94*D94/1000</f>
        <v>448.2</v>
      </c>
      <c r="I94" s="53"/>
      <c r="J94" s="53" t="e">
        <f t="shared" ref="J94" si="72">G94*1.4</f>
        <v>#VALUE!</v>
      </c>
      <c r="K94" s="51" t="e">
        <f t="shared" ref="K94" si="73">J94+I94+H94</f>
        <v>#VALUE!</v>
      </c>
      <c r="L94" s="51" t="s">
        <v>48</v>
      </c>
      <c r="M94" s="92">
        <v>63079090</v>
      </c>
      <c r="N94" s="88" t="s">
        <v>170</v>
      </c>
      <c r="O94" s="88"/>
    </row>
    <row r="95" spans="1:16">
      <c r="A95" s="90">
        <f t="shared" si="6"/>
        <v>64</v>
      </c>
      <c r="B95" s="90" t="s">
        <v>163</v>
      </c>
      <c r="C95" s="65">
        <v>5</v>
      </c>
      <c r="D95" s="38"/>
      <c r="E95" s="66"/>
      <c r="F95" s="90">
        <f>_xlfn.IFNA(VLOOKUP(B95,'[1]PACKING LIST'!$B$35:$E$48,4,FALSE),0)</f>
        <v>0</v>
      </c>
      <c r="G95" s="87" t="e">
        <f t="shared" ref="G95:G110" si="74">ROUNDUP(F95/E95,0)</f>
        <v>#DIV/0!</v>
      </c>
      <c r="H95" s="48">
        <f t="shared" ref="H95:H110" si="75">F95*D95/1000</f>
        <v>0</v>
      </c>
      <c r="I95" s="53"/>
      <c r="J95" s="53" t="e">
        <f t="shared" ref="J95:J110" si="76">G95*1.4</f>
        <v>#DIV/0!</v>
      </c>
      <c r="K95" s="51" t="e">
        <f t="shared" ref="K95:K110" si="77">J95+I95+H95</f>
        <v>#DIV/0!</v>
      </c>
      <c r="L95" s="90" t="s">
        <v>49</v>
      </c>
      <c r="M95" s="92"/>
      <c r="N95" s="92"/>
      <c r="O95" s="92"/>
    </row>
    <row r="96" spans="1:16">
      <c r="A96" s="90">
        <f t="shared" si="6"/>
        <v>65</v>
      </c>
      <c r="B96" s="112" t="s">
        <v>165</v>
      </c>
      <c r="C96" s="65">
        <v>28</v>
      </c>
      <c r="D96" s="54">
        <v>220</v>
      </c>
      <c r="E96" s="66">
        <v>6</v>
      </c>
      <c r="F96" s="90">
        <f>_xlfn.IFNA(VLOOKUP(B96,'[1]PACKING LIST'!$B$35:$E$48,4,FALSE),0)</f>
        <v>0</v>
      </c>
      <c r="G96" s="87">
        <f t="shared" si="74"/>
        <v>0</v>
      </c>
      <c r="H96" s="48">
        <f t="shared" si="75"/>
        <v>0</v>
      </c>
      <c r="I96" s="53"/>
      <c r="J96" s="53">
        <f t="shared" si="76"/>
        <v>0</v>
      </c>
      <c r="K96" s="51">
        <f t="shared" si="77"/>
        <v>0</v>
      </c>
      <c r="L96" s="90" t="s">
        <v>49</v>
      </c>
      <c r="M96" s="92">
        <v>39269099</v>
      </c>
      <c r="N96" s="92" t="s">
        <v>170</v>
      </c>
      <c r="O96" s="92"/>
    </row>
    <row r="97" spans="1:15">
      <c r="A97" s="90">
        <f t="shared" si="6"/>
        <v>66</v>
      </c>
      <c r="B97" s="112" t="s">
        <v>166</v>
      </c>
      <c r="C97" s="65">
        <v>28</v>
      </c>
      <c r="D97" s="54">
        <v>410</v>
      </c>
      <c r="E97" s="38"/>
      <c r="F97" s="90">
        <f>_xlfn.IFNA(VLOOKUP(B97,'[1]PACKING LIST'!$B$35:$E$48,4,FALSE),0)</f>
        <v>0</v>
      </c>
      <c r="G97" s="87" t="e">
        <f t="shared" si="74"/>
        <v>#DIV/0!</v>
      </c>
      <c r="H97" s="48">
        <f t="shared" si="75"/>
        <v>0</v>
      </c>
      <c r="I97" s="53"/>
      <c r="J97" s="53" t="e">
        <f t="shared" si="76"/>
        <v>#DIV/0!</v>
      </c>
      <c r="K97" s="51" t="e">
        <f t="shared" si="77"/>
        <v>#DIV/0!</v>
      </c>
      <c r="L97" s="90" t="s">
        <v>49</v>
      </c>
      <c r="M97" s="92">
        <v>39269099</v>
      </c>
      <c r="N97" s="92" t="s">
        <v>170</v>
      </c>
      <c r="O97" s="92"/>
    </row>
    <row r="98" spans="1:15">
      <c r="A98" s="90"/>
      <c r="B98" s="112" t="s">
        <v>190</v>
      </c>
      <c r="C98" s="65">
        <f>10</f>
        <v>10</v>
      </c>
      <c r="D98" s="54">
        <v>406</v>
      </c>
      <c r="E98" s="38"/>
      <c r="F98" s="90"/>
      <c r="G98" s="87" t="e">
        <f t="shared" ref="G98:G103" si="78">ROUNDUP(F98/E98,0)</f>
        <v>#DIV/0!</v>
      </c>
      <c r="H98" s="48">
        <f t="shared" ref="H98:H103" si="79">F98*D98/1000</f>
        <v>0</v>
      </c>
      <c r="I98" s="53"/>
      <c r="J98" s="53" t="e">
        <f t="shared" ref="J98:J103" si="80">G98*1.4</f>
        <v>#DIV/0!</v>
      </c>
      <c r="K98" s="51" t="e">
        <f t="shared" ref="K98:K103" si="81">J98+I98+H98</f>
        <v>#DIV/0!</v>
      </c>
      <c r="L98" s="90" t="s">
        <v>49</v>
      </c>
      <c r="M98" s="92"/>
      <c r="N98" s="92"/>
      <c r="O98" s="92"/>
    </row>
    <row r="99" spans="1:15">
      <c r="A99" s="90"/>
      <c r="B99" s="112" t="s">
        <v>191</v>
      </c>
      <c r="C99" s="65">
        <f>10</f>
        <v>10</v>
      </c>
      <c r="D99" s="54">
        <v>702</v>
      </c>
      <c r="E99" s="38"/>
      <c r="F99" s="90"/>
      <c r="G99" s="87" t="e">
        <f t="shared" si="78"/>
        <v>#DIV/0!</v>
      </c>
      <c r="H99" s="48">
        <f t="shared" si="79"/>
        <v>0</v>
      </c>
      <c r="I99" s="53"/>
      <c r="J99" s="53" t="e">
        <f t="shared" si="80"/>
        <v>#DIV/0!</v>
      </c>
      <c r="K99" s="51" t="e">
        <f t="shared" si="81"/>
        <v>#DIV/0!</v>
      </c>
      <c r="L99" s="90" t="s">
        <v>49</v>
      </c>
      <c r="M99" s="92"/>
      <c r="N99" s="92"/>
      <c r="O99" s="92"/>
    </row>
    <row r="100" spans="1:15" ht="21.75" customHeight="1">
      <c r="A100" s="90"/>
      <c r="B100" s="112" t="s">
        <v>192</v>
      </c>
      <c r="C100" s="65">
        <f>10</f>
        <v>10</v>
      </c>
      <c r="D100" s="54">
        <v>225</v>
      </c>
      <c r="E100" s="38"/>
      <c r="F100" s="90"/>
      <c r="G100" s="87" t="e">
        <f t="shared" si="78"/>
        <v>#DIV/0!</v>
      </c>
      <c r="H100" s="48">
        <f t="shared" si="79"/>
        <v>0</v>
      </c>
      <c r="I100" s="53"/>
      <c r="J100" s="53" t="e">
        <f t="shared" si="80"/>
        <v>#DIV/0!</v>
      </c>
      <c r="K100" s="51" t="e">
        <f t="shared" si="81"/>
        <v>#DIV/0!</v>
      </c>
      <c r="L100" s="90" t="s">
        <v>49</v>
      </c>
      <c r="M100" s="92"/>
      <c r="N100" s="92"/>
      <c r="O100" s="92"/>
    </row>
    <row r="101" spans="1:15">
      <c r="A101" s="90"/>
      <c r="B101" s="112" t="s">
        <v>193</v>
      </c>
      <c r="C101" s="65">
        <f>10</f>
        <v>10</v>
      </c>
      <c r="D101" s="54">
        <v>601</v>
      </c>
      <c r="E101" s="38"/>
      <c r="F101" s="90"/>
      <c r="G101" s="87" t="e">
        <f t="shared" si="78"/>
        <v>#DIV/0!</v>
      </c>
      <c r="H101" s="48">
        <f t="shared" si="79"/>
        <v>0</v>
      </c>
      <c r="I101" s="53"/>
      <c r="J101" s="53" t="e">
        <f t="shared" si="80"/>
        <v>#DIV/0!</v>
      </c>
      <c r="K101" s="51" t="e">
        <f t="shared" si="81"/>
        <v>#DIV/0!</v>
      </c>
      <c r="L101" s="90" t="s">
        <v>49</v>
      </c>
      <c r="M101" s="92"/>
      <c r="N101" s="92"/>
      <c r="O101" s="92"/>
    </row>
    <row r="102" spans="1:15">
      <c r="A102" s="90"/>
      <c r="B102" s="112" t="s">
        <v>194</v>
      </c>
      <c r="C102" s="65">
        <f>10</f>
        <v>10</v>
      </c>
      <c r="D102" s="54">
        <v>540</v>
      </c>
      <c r="E102" s="38"/>
      <c r="F102" s="90"/>
      <c r="G102" s="87" t="e">
        <f t="shared" si="78"/>
        <v>#DIV/0!</v>
      </c>
      <c r="H102" s="48">
        <f t="shared" si="79"/>
        <v>0</v>
      </c>
      <c r="I102" s="53"/>
      <c r="J102" s="53" t="e">
        <f t="shared" si="80"/>
        <v>#DIV/0!</v>
      </c>
      <c r="K102" s="51" t="e">
        <f t="shared" si="81"/>
        <v>#DIV/0!</v>
      </c>
      <c r="L102" s="90" t="s">
        <v>49</v>
      </c>
      <c r="M102" s="92"/>
      <c r="N102" s="92"/>
      <c r="O102" s="92"/>
    </row>
    <row r="103" spans="1:15">
      <c r="A103" s="90"/>
      <c r="B103" s="112" t="s">
        <v>195</v>
      </c>
      <c r="C103" s="65">
        <f>10</f>
        <v>10</v>
      </c>
      <c r="D103" s="54">
        <v>990</v>
      </c>
      <c r="E103" s="38"/>
      <c r="F103" s="90"/>
      <c r="G103" s="87" t="e">
        <f t="shared" si="78"/>
        <v>#DIV/0!</v>
      </c>
      <c r="H103" s="48">
        <f t="shared" si="79"/>
        <v>0</v>
      </c>
      <c r="I103" s="53"/>
      <c r="J103" s="53" t="e">
        <f t="shared" si="80"/>
        <v>#DIV/0!</v>
      </c>
      <c r="K103" s="51" t="e">
        <f t="shared" si="81"/>
        <v>#DIV/0!</v>
      </c>
      <c r="L103" s="90" t="s">
        <v>49</v>
      </c>
      <c r="M103" s="92"/>
      <c r="N103" s="92"/>
      <c r="O103" s="92"/>
    </row>
    <row r="104" spans="1:15">
      <c r="A104" s="90"/>
      <c r="B104" s="112" t="s">
        <v>201</v>
      </c>
      <c r="C104" s="65">
        <v>38.75</v>
      </c>
      <c r="D104" s="54"/>
      <c r="E104" s="38"/>
      <c r="F104" s="90"/>
      <c r="G104" s="87"/>
      <c r="H104" s="48"/>
      <c r="I104" s="53"/>
      <c r="J104" s="53"/>
      <c r="K104" s="51"/>
      <c r="L104" s="90" t="s">
        <v>49</v>
      </c>
      <c r="M104" s="92"/>
      <c r="N104" s="92"/>
      <c r="O104" s="92"/>
    </row>
    <row r="105" spans="1:15">
      <c r="A105" s="90"/>
      <c r="B105" s="112" t="s">
        <v>202</v>
      </c>
      <c r="C105" s="65">
        <v>20.38</v>
      </c>
      <c r="D105" s="54"/>
      <c r="E105" s="38"/>
      <c r="F105" s="90"/>
      <c r="G105" s="87"/>
      <c r="H105" s="48"/>
      <c r="I105" s="53"/>
      <c r="J105" s="53"/>
      <c r="K105" s="51"/>
      <c r="L105" s="90" t="s">
        <v>49</v>
      </c>
      <c r="M105" s="92"/>
      <c r="N105" s="92"/>
      <c r="O105" s="92"/>
    </row>
    <row r="106" spans="1:15">
      <c r="A106" s="90">
        <f>A97+1</f>
        <v>67</v>
      </c>
      <c r="B106" s="38" t="s">
        <v>186</v>
      </c>
      <c r="C106" s="65">
        <v>0.84299999999999997</v>
      </c>
      <c r="D106" s="54">
        <v>111</v>
      </c>
      <c r="E106" s="38"/>
      <c r="F106" s="90">
        <f>_xlfn.IFNA(VLOOKUP(B106,'[1]PACKING LIST'!$B$35:$E$48,4,FALSE),0)</f>
        <v>0</v>
      </c>
      <c r="G106" s="87" t="e">
        <f t="shared" si="74"/>
        <v>#DIV/0!</v>
      </c>
      <c r="H106" s="48">
        <f t="shared" si="75"/>
        <v>0</v>
      </c>
      <c r="I106" s="53"/>
      <c r="J106" s="53" t="e">
        <f t="shared" si="76"/>
        <v>#DIV/0!</v>
      </c>
      <c r="K106" s="51" t="e">
        <f t="shared" si="77"/>
        <v>#DIV/0!</v>
      </c>
      <c r="L106" s="90" t="s">
        <v>49</v>
      </c>
      <c r="M106" s="21">
        <v>39169092</v>
      </c>
      <c r="N106" s="88" t="s">
        <v>169</v>
      </c>
    </row>
    <row r="107" spans="1:15">
      <c r="A107" s="90">
        <f t="shared" si="6"/>
        <v>68</v>
      </c>
      <c r="B107" s="38" t="s">
        <v>187</v>
      </c>
      <c r="C107" s="65">
        <v>0.98099999999999998</v>
      </c>
      <c r="D107" s="54">
        <v>132</v>
      </c>
      <c r="E107" s="38"/>
      <c r="F107" s="90">
        <f>_xlfn.IFNA(VLOOKUP(B107,'[1]PACKING LIST'!$B$35:$E$48,4,FALSE),0)</f>
        <v>0</v>
      </c>
      <c r="G107" s="87" t="e">
        <f t="shared" si="74"/>
        <v>#DIV/0!</v>
      </c>
      <c r="H107" s="48">
        <f t="shared" si="75"/>
        <v>0</v>
      </c>
      <c r="I107" s="53"/>
      <c r="J107" s="53" t="e">
        <f t="shared" si="76"/>
        <v>#DIV/0!</v>
      </c>
      <c r="K107" s="51" t="e">
        <f t="shared" si="77"/>
        <v>#DIV/0!</v>
      </c>
      <c r="L107" s="90" t="s">
        <v>49</v>
      </c>
      <c r="M107" s="21">
        <v>39169092</v>
      </c>
      <c r="N107" s="88" t="s">
        <v>169</v>
      </c>
    </row>
    <row r="108" spans="1:15">
      <c r="B108" s="38" t="s">
        <v>188</v>
      </c>
      <c r="C108" s="65">
        <v>1.081</v>
      </c>
      <c r="D108" s="54">
        <v>294</v>
      </c>
      <c r="E108" s="38"/>
      <c r="F108" s="90">
        <f>_xlfn.IFNA(VLOOKUP(B108,'[1]PACKING LIST'!$B$35:$E$48,4,FALSE),0)</f>
        <v>0</v>
      </c>
      <c r="G108" s="87" t="e">
        <f t="shared" si="74"/>
        <v>#DIV/0!</v>
      </c>
      <c r="H108" s="48">
        <f t="shared" si="75"/>
        <v>0</v>
      </c>
      <c r="I108" s="53"/>
      <c r="J108" s="53" t="e">
        <f t="shared" si="76"/>
        <v>#DIV/0!</v>
      </c>
      <c r="K108" s="51" t="e">
        <f t="shared" si="77"/>
        <v>#DIV/0!</v>
      </c>
      <c r="L108" s="90" t="s">
        <v>49</v>
      </c>
      <c r="M108" s="21">
        <v>39169092</v>
      </c>
      <c r="N108" s="88" t="s">
        <v>169</v>
      </c>
    </row>
    <row r="109" spans="1:15">
      <c r="B109" s="38" t="s">
        <v>198</v>
      </c>
      <c r="C109" s="65">
        <v>2.91</v>
      </c>
      <c r="D109" s="54">
        <f>294*1388/938</f>
        <v>435.04477611940297</v>
      </c>
      <c r="E109" s="38"/>
      <c r="F109" s="90">
        <f>_xlfn.IFNA(VLOOKUP(B109,'[1]PACKING LIST'!$B$35:$E$48,4,FALSE),0)</f>
        <v>0</v>
      </c>
      <c r="G109" s="87" t="e">
        <f t="shared" si="74"/>
        <v>#DIV/0!</v>
      </c>
      <c r="H109" s="48">
        <f t="shared" si="75"/>
        <v>0</v>
      </c>
      <c r="I109" s="53"/>
      <c r="J109" s="53" t="e">
        <f t="shared" si="76"/>
        <v>#DIV/0!</v>
      </c>
      <c r="K109" s="51" t="e">
        <f t="shared" si="77"/>
        <v>#DIV/0!</v>
      </c>
      <c r="L109" s="90" t="s">
        <v>49</v>
      </c>
      <c r="M109" s="21">
        <v>39169092</v>
      </c>
      <c r="N109" s="88" t="s">
        <v>169</v>
      </c>
    </row>
    <row r="110" spans="1:15">
      <c r="B110" s="38" t="s">
        <v>189</v>
      </c>
      <c r="C110" s="38"/>
      <c r="D110" s="54">
        <v>511</v>
      </c>
      <c r="E110" s="38"/>
      <c r="F110" s="90">
        <f>_xlfn.IFNA(VLOOKUP(B110,'[1]PACKING LIST'!$B$35:$E$48,4,FALSE),0)</f>
        <v>0</v>
      </c>
      <c r="G110" s="87" t="e">
        <f t="shared" si="74"/>
        <v>#DIV/0!</v>
      </c>
      <c r="H110" s="48">
        <f t="shared" si="75"/>
        <v>0</v>
      </c>
      <c r="I110" s="53"/>
      <c r="J110" s="53" t="e">
        <f t="shared" si="76"/>
        <v>#DIV/0!</v>
      </c>
      <c r="K110" s="51" t="e">
        <f t="shared" si="77"/>
        <v>#DIV/0!</v>
      </c>
      <c r="L110" s="90" t="s">
        <v>49</v>
      </c>
      <c r="M110" s="21">
        <v>39169092</v>
      </c>
      <c r="N110" s="88" t="s">
        <v>169</v>
      </c>
    </row>
    <row r="111" spans="1:15">
      <c r="B111" s="38" t="s">
        <v>199</v>
      </c>
      <c r="C111" s="65">
        <v>5.35</v>
      </c>
      <c r="D111" s="54">
        <v>755</v>
      </c>
      <c r="E111" s="38"/>
      <c r="F111" s="90"/>
      <c r="G111" s="87"/>
      <c r="H111" s="48"/>
      <c r="I111" s="53"/>
      <c r="J111" s="53"/>
      <c r="K111" s="51"/>
      <c r="L111" s="90" t="s">
        <v>49</v>
      </c>
      <c r="N111" s="88"/>
    </row>
    <row r="112" spans="1:15">
      <c r="B112" s="38" t="s">
        <v>196</v>
      </c>
      <c r="C112" s="65">
        <v>2</v>
      </c>
      <c r="D112" s="38"/>
      <c r="E112" s="38"/>
      <c r="F112" s="38"/>
      <c r="G112" s="38"/>
      <c r="H112" s="38"/>
      <c r="I112" s="38"/>
      <c r="J112" s="38"/>
      <c r="K112" s="38"/>
      <c r="L112" s="90" t="s">
        <v>49</v>
      </c>
    </row>
  </sheetData>
  <autoFilter ref="A2:P107" xr:uid="{00000000-0009-0000-0000-000006000000}"/>
  <phoneticPr fontId="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INVOICE</vt:lpstr>
      <vt:lpstr>PACKING LIST</vt:lpstr>
      <vt:lpstr>INVOICE-20</vt:lpstr>
      <vt:lpstr>PACKING LIST-20</vt:lpstr>
      <vt:lpstr>データ</vt:lpstr>
      <vt:lpstr>INVOICE!Print_Area</vt:lpstr>
      <vt:lpstr>'INVOICE-20'!Print_Area</vt:lpstr>
      <vt:lpstr>'PACKING LIST'!Print_Area</vt:lpstr>
      <vt:lpstr>'PACKING LIST-20'!Print_Area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Quyen</dc:creator>
  <cp:keywords/>
  <dc:description/>
  <cp:lastModifiedBy>元輝 浅井</cp:lastModifiedBy>
  <cp:revision/>
  <cp:lastPrinted>2025-12-05T06:34:04Z</cp:lastPrinted>
  <dcterms:created xsi:type="dcterms:W3CDTF">2016-05-31T08:23:05Z</dcterms:created>
  <dcterms:modified xsi:type="dcterms:W3CDTF">2026-03-09T16:36:41Z</dcterms:modified>
  <cp:category/>
  <cp:contentStatus/>
</cp:coreProperties>
</file>