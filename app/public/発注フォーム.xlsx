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work\masuda-vinyl-ops\app\public\"/>
    </mc:Choice>
  </mc:AlternateContent>
  <xr:revisionPtr revIDLastSave="0" documentId="13_ncr:1_{1D620FF6-1B75-4B44-B918-9201A746CEBC}" xr6:coauthVersionLast="47" xr6:coauthVersionMax="47" xr10:uidLastSave="{00000000-0000-0000-0000-000000000000}"/>
  <bookViews>
    <workbookView xWindow="2775" yWindow="1410" windowWidth="21600" windowHeight="15870" xr2:uid="{811621DE-664E-4521-9512-F04E9755C0E8}"/>
  </bookViews>
  <sheets>
    <sheet name="Duc Phong" sheetId="170" r:id="rId1"/>
    <sheet name="Duc Phong-12" sheetId="171" state="hidden" r:id="rId2"/>
    <sheet name="Duc Phong-17" sheetId="172" state="hidden" r:id="rId3"/>
  </sheets>
  <definedNames>
    <definedName name="_xlnm.Print_Area" localSheetId="0">'Duc Phong'!$A$1:$J$33</definedName>
    <definedName name="_xlnm.Print_Area" localSheetId="1">'Duc Phong-12'!$A$1:$J$38</definedName>
    <definedName name="_xlnm.Print_Area" localSheetId="2">'Duc Phong-17'!$A$1:$J$43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71" l="1"/>
  <c r="I25" i="171"/>
  <c r="I14" i="171"/>
  <c r="I15" i="171"/>
  <c r="I16" i="171"/>
  <c r="I17" i="171"/>
  <c r="I18" i="171"/>
  <c r="I19" i="171"/>
  <c r="I20" i="171"/>
  <c r="I21" i="171"/>
  <c r="I22" i="171"/>
  <c r="I23" i="171"/>
  <c r="I24" i="171"/>
  <c r="I26" i="172"/>
  <c r="I25" i="172"/>
  <c r="I19" i="172"/>
  <c r="I18" i="172"/>
  <c r="I17" i="172"/>
  <c r="I16" i="172"/>
  <c r="I21" i="172"/>
  <c r="I20" i="172"/>
  <c r="I15" i="172"/>
  <c r="I14" i="172"/>
  <c r="I29" i="172"/>
  <c r="I28" i="172"/>
  <c r="I27" i="172"/>
  <c r="I24" i="172"/>
  <c r="I23" i="172"/>
  <c r="I22" i="172"/>
  <c r="I13" i="172"/>
  <c r="I13" i="171"/>
  <c r="I22" i="170"/>
  <c r="I15" i="170"/>
  <c r="I16" i="170"/>
  <c r="I17" i="170"/>
  <c r="I18" i="170"/>
  <c r="I19" i="170"/>
  <c r="I13" i="170"/>
  <c r="I14" i="170"/>
  <c r="I20" i="170"/>
  <c r="B14" i="170"/>
  <c r="B15" i="170" s="1"/>
  <c r="B16" i="170" s="1"/>
  <c r="B17" i="170" s="1"/>
  <c r="B18" i="170" s="1"/>
  <c r="I30" i="172" l="1"/>
  <c r="I32" i="172" s="1"/>
</calcChain>
</file>

<file path=xl/sharedStrings.xml><?xml version="1.0" encoding="utf-8"?>
<sst xmlns="http://schemas.openxmlformats.org/spreadsheetml/2006/main" count="75" uniqueCount="25">
  <si>
    <r>
      <rPr>
        <sz val="20"/>
        <rFont val="ＭＳ Ｐゴシック"/>
        <family val="3"/>
        <charset val="128"/>
      </rPr>
      <t xml:space="preserve">注文書
</t>
    </r>
    <r>
      <rPr>
        <sz val="20"/>
        <rFont val="Times New Roman"/>
        <family val="1"/>
      </rPr>
      <t>ĐƠN ĐẶT HÀNG</t>
    </r>
  </si>
  <si>
    <t xml:space="preserve"> Chúng tôi xác nhận đặt hàng quý công ty theo danh sách các mặt hàng bên dưới.</t>
    <phoneticPr fontId="21"/>
  </si>
  <si>
    <t>№</t>
    <phoneticPr fontId="21"/>
  </si>
  <si>
    <r>
      <rPr>
        <sz val="11"/>
        <rFont val="HGSｺﾞｼｯｸE"/>
        <family val="3"/>
        <charset val="128"/>
      </rPr>
      <t xml:space="preserve">品　名
</t>
    </r>
    <r>
      <rPr>
        <sz val="11"/>
        <rFont val="Times New Roman"/>
        <family val="1"/>
      </rPr>
      <t>Tên sản phẩm</t>
    </r>
  </si>
  <si>
    <r>
      <rPr>
        <sz val="11"/>
        <rFont val="HGSｺﾞｼｯｸE"/>
        <family val="3"/>
        <charset val="128"/>
      </rPr>
      <t xml:space="preserve">希望納期
</t>
    </r>
    <r>
      <rPr>
        <sz val="11"/>
        <rFont val="Times New Roman"/>
        <family val="1"/>
      </rPr>
      <t>Ngày giao hàng</t>
    </r>
  </si>
  <si>
    <r>
      <rPr>
        <sz val="11"/>
        <rFont val="HGSｺﾞｼｯｸE"/>
        <family val="3"/>
        <charset val="128"/>
      </rPr>
      <t xml:space="preserve">金額
</t>
    </r>
    <r>
      <rPr>
        <sz val="11"/>
        <rFont val="Times New Roman"/>
        <family val="1"/>
      </rPr>
      <t>Số tiền</t>
    </r>
  </si>
  <si>
    <r>
      <rPr>
        <b/>
        <sz val="11"/>
        <rFont val="ＭＳ Ｐゴシック"/>
        <family val="3"/>
      </rPr>
      <t>単位</t>
    </r>
    <r>
      <rPr>
        <sz val="11"/>
        <rFont val="Times New Roman"/>
        <family val="1"/>
      </rPr>
      <t xml:space="preserve">
Đơn vị</t>
    </r>
  </si>
  <si>
    <r>
      <rPr>
        <b/>
        <sz val="11"/>
        <rFont val="ＭＳ Ｐゴシック"/>
        <family val="3"/>
      </rPr>
      <t>数　量</t>
    </r>
    <r>
      <rPr>
        <sz val="11"/>
        <rFont val="Times New Roman"/>
        <family val="1"/>
      </rPr>
      <t xml:space="preserve">
Số lượng</t>
    </r>
  </si>
  <si>
    <r>
      <rPr>
        <b/>
        <sz val="11"/>
        <rFont val="ＭＳ Ｐゴシック"/>
        <family val="3"/>
      </rPr>
      <t>単価</t>
    </r>
    <r>
      <rPr>
        <sz val="11"/>
        <rFont val="Times New Roman"/>
        <family val="1"/>
      </rPr>
      <t xml:space="preserve">
Đơn giá</t>
    </r>
  </si>
  <si>
    <r>
      <rPr>
        <b/>
        <sz val="11"/>
        <rFont val="ＭＳ Ｐゴシック"/>
        <family val="3"/>
      </rPr>
      <t>小計</t>
    </r>
    <r>
      <rPr>
        <b/>
        <sz val="11"/>
        <rFont val="Times New Roman"/>
        <family val="1"/>
      </rPr>
      <t>(</t>
    </r>
    <r>
      <rPr>
        <b/>
        <sz val="11"/>
        <rFont val="ＭＳ Ｐゴシック"/>
        <family val="3"/>
      </rPr>
      <t>税抜）</t>
    </r>
    <r>
      <rPr>
        <sz val="11"/>
        <rFont val="Times New Roman"/>
        <family val="1"/>
      </rPr>
      <t xml:space="preserve">
Tổng trước thuế </t>
    </r>
    <r>
      <rPr>
        <sz val="11"/>
        <rFont val="ＭＳ Ｐゴシック"/>
        <family val="3"/>
      </rPr>
      <t/>
    </r>
  </si>
  <si>
    <r>
      <rPr>
        <b/>
        <sz val="11"/>
        <rFont val="ＭＳ Ｐゴシック"/>
        <family val="3"/>
      </rPr>
      <t>合計</t>
    </r>
    <r>
      <rPr>
        <b/>
        <sz val="11"/>
        <rFont val="Times New Roman"/>
        <family val="1"/>
      </rPr>
      <t>(</t>
    </r>
    <r>
      <rPr>
        <b/>
        <sz val="11"/>
        <rFont val="ＭＳ Ｐゴシック"/>
        <family val="3"/>
      </rPr>
      <t>税込）</t>
    </r>
    <r>
      <rPr>
        <sz val="11"/>
        <rFont val="Times New Roman"/>
        <family val="1"/>
      </rPr>
      <t xml:space="preserve">
Tổng sau thuế </t>
    </r>
    <r>
      <rPr>
        <sz val="11"/>
        <rFont val="ＭＳ Ｐゴシック"/>
        <family val="3"/>
      </rPr>
      <t/>
    </r>
  </si>
  <si>
    <t>To:</t>
  </si>
  <si>
    <t>VAT 0%</t>
  </si>
  <si>
    <t>Đôi</t>
  </si>
  <si>
    <r>
      <rPr>
        <b/>
        <u/>
        <sz val="14"/>
        <rFont val="ＭＳ Ｐゴシック"/>
        <family val="3"/>
        <charset val="128"/>
      </rPr>
      <t>株式会社</t>
    </r>
    <r>
      <rPr>
        <b/>
        <u/>
        <sz val="14"/>
        <rFont val="Times New Roman"/>
        <family val="1"/>
      </rPr>
      <t xml:space="preserve">  CÔNG TY TNHH THƯƠNG MẠI ĐỨC PHONG</t>
    </r>
    <r>
      <rPr>
        <b/>
        <u/>
        <sz val="14"/>
        <rFont val="ＭＳ Ｐゴシック"/>
        <family val="3"/>
        <charset val="128"/>
      </rPr>
      <t>　御中</t>
    </r>
  </si>
  <si>
    <t>Ms.Hang: 0904853141</t>
  </si>
  <si>
    <r>
      <rPr>
        <sz val="11"/>
        <rFont val="ＭＳ Ｐゴシック"/>
        <family val="3"/>
      </rPr>
      <t>下記の事項に注文致します。宜しくお願いします。</t>
    </r>
  </si>
  <si>
    <t>Găng tay Nitril 12'' size S</t>
  </si>
  <si>
    <r>
      <rPr>
        <sz val="12"/>
        <rFont val="ＭＳ Ｐ明朝"/>
        <family val="1"/>
        <charset val="128"/>
      </rPr>
      <t>承認者</t>
    </r>
    <r>
      <rPr>
        <sz val="12"/>
        <rFont val="Times New Roman"/>
        <family val="1"/>
      </rPr>
      <t xml:space="preserve">
Xác nh</t>
    </r>
    <r>
      <rPr>
        <sz val="12"/>
        <rFont val="Calibri"/>
        <family val="2"/>
      </rPr>
      <t>ậ</t>
    </r>
    <r>
      <rPr>
        <sz val="12"/>
        <rFont val="Times New Roman"/>
        <family val="1"/>
      </rPr>
      <t>n</t>
    </r>
    <phoneticPr fontId="2"/>
  </si>
  <si>
    <r>
      <rPr>
        <sz val="12"/>
        <rFont val="ＭＳ Ｐ明朝"/>
        <family val="1"/>
        <charset val="128"/>
      </rPr>
      <t>確認者</t>
    </r>
    <r>
      <rPr>
        <sz val="12"/>
        <rFont val="Times New Roman"/>
        <family val="1"/>
      </rPr>
      <t xml:space="preserve">
Ki</t>
    </r>
    <r>
      <rPr>
        <sz val="12"/>
        <rFont val="Calibri"/>
        <family val="2"/>
      </rPr>
      <t>ể</t>
    </r>
    <r>
      <rPr>
        <sz val="12"/>
        <rFont val="Times New Roman"/>
        <family val="1"/>
      </rPr>
      <t>m tra</t>
    </r>
    <rPh sb="0" eb="2">
      <t>カクニン</t>
    </rPh>
    <rPh sb="2" eb="3">
      <t>シャ</t>
    </rPh>
    <phoneticPr fontId="2"/>
  </si>
  <si>
    <r>
      <rPr>
        <sz val="12"/>
        <color indexed="8"/>
        <rFont val="ＭＳ Ｐ明朝"/>
        <family val="1"/>
        <charset val="128"/>
      </rPr>
      <t>担当者</t>
    </r>
    <r>
      <rPr>
        <sz val="12"/>
        <color indexed="8"/>
        <rFont val="Times New Roman"/>
        <family val="1"/>
      </rPr>
      <t xml:space="preserve">
 Ph</t>
    </r>
    <r>
      <rPr>
        <sz val="12"/>
        <color indexed="8"/>
        <rFont val="Calibri"/>
        <family val="2"/>
      </rPr>
      <t>ụ</t>
    </r>
    <r>
      <rPr>
        <sz val="12"/>
        <color indexed="8"/>
        <rFont val="Times New Roman"/>
        <family val="1"/>
      </rPr>
      <t xml:space="preserve"> trách</t>
    </r>
    <phoneticPr fontId="2"/>
  </si>
  <si>
    <t xml:space="preserve"> TP. Hà Nội</t>
    <phoneticPr fontId="2"/>
  </si>
  <si>
    <r>
      <t>ĐC</t>
    </r>
    <r>
      <rPr>
        <sz val="12"/>
        <rFont val="HGKyokashotai"/>
        <family val="1"/>
        <charset val="128"/>
      </rPr>
      <t xml:space="preserve">: </t>
    </r>
    <phoneticPr fontId="2"/>
  </si>
  <si>
    <r>
      <rPr>
        <b/>
        <sz val="14"/>
        <rFont val="ＭＳ Ｐゴシック"/>
        <family val="3"/>
        <charset val="128"/>
      </rPr>
      <t>注番</t>
    </r>
    <r>
      <rPr>
        <b/>
        <sz val="14"/>
        <rFont val="Times New Roman"/>
        <family val="1"/>
      </rPr>
      <t>: 001/25</t>
    </r>
    <phoneticPr fontId="2"/>
  </si>
  <si>
    <t xml:space="preserve">Mã đặt hàng: 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</si>
</sst>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##&quot;邸&quot;"/>
    <numFmt numFmtId="178" formatCode="d/m"/>
    <numFmt numFmtId="179" formatCode="0,000\ &quot;VND&quot;"/>
    <numFmt numFmtId="180" formatCode="d/m/yyyy"/>
  </numFmts>
  <fonts count="3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HGSｺﾞｼｯｸE"/>
      <family val="3"/>
      <charset val="128"/>
    </font>
    <font>
      <sz val="2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1"/>
      <name val="Times New Roman"/>
      <family val="1"/>
    </font>
    <font>
      <sz val="20"/>
      <name val="Times New Roman"/>
      <family val="1"/>
    </font>
    <font>
      <b/>
      <u/>
      <sz val="14"/>
      <name val="Times New Roman"/>
      <family val="1"/>
    </font>
    <font>
      <b/>
      <u/>
      <sz val="2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u/>
      <sz val="16"/>
      <name val="Times New Roman"/>
      <family val="1"/>
    </font>
    <font>
      <u/>
      <sz val="11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sz val="11"/>
      <name val="ＭＳ Ｐゴシック"/>
      <family val="3"/>
    </font>
    <font>
      <b/>
      <sz val="11"/>
      <name val="ＭＳ Ｐゴシック"/>
      <family val="3"/>
    </font>
    <font>
      <b/>
      <sz val="13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sz val="6"/>
      <name val="ＭＳ Ｐゴシック"/>
      <family val="3"/>
      <charset val="128"/>
    </font>
    <font>
      <sz val="10"/>
      <name val="Arial"/>
      <family val="2"/>
    </font>
    <font>
      <u/>
      <sz val="12"/>
      <name val="Times New Roman"/>
      <family val="1"/>
    </font>
    <font>
      <b/>
      <u/>
      <sz val="14"/>
      <name val="ＭＳ Ｐゴシック"/>
      <family val="3"/>
      <charset val="128"/>
    </font>
    <font>
      <b/>
      <u/>
      <sz val="14"/>
      <name val="Times New Roman"/>
      <family val="1"/>
    </font>
    <font>
      <sz val="12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2"/>
      <name val="ＭＳ Ｐ明朝"/>
      <family val="1"/>
      <charset val="128"/>
    </font>
    <font>
      <sz val="12"/>
      <name val="Calibri"/>
      <family val="2"/>
    </font>
    <font>
      <sz val="12"/>
      <color indexed="8"/>
      <name val="ＭＳ Ｐ明朝"/>
      <family val="1"/>
      <charset val="128"/>
    </font>
    <font>
      <sz val="12"/>
      <color indexed="8"/>
      <name val="Calibri"/>
      <family val="2"/>
    </font>
    <font>
      <sz val="6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name val="HGKyokashotai"/>
      <family val="1"/>
      <charset val="128"/>
    </font>
    <font>
      <b/>
      <sz val="14"/>
      <name val="Times New Roman"/>
      <family val="3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76" fontId="22" fillId="0" borderId="0" applyFont="0" applyFill="0" applyBorder="0" applyAlignment="0" applyProtection="0"/>
    <xf numFmtId="0" fontId="16" fillId="0" borderId="0">
      <alignment vertical="center"/>
    </xf>
    <xf numFmtId="40" fontId="1" fillId="0" borderId="0" applyFont="0" applyFill="0" applyBorder="0" applyAlignment="0" applyProtection="0"/>
  </cellStyleXfs>
  <cellXfs count="78">
    <xf numFmtId="0" fontId="0" fillId="0" borderId="0" xfId="0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2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/>
    <xf numFmtId="177" fontId="6" fillId="0" borderId="0" xfId="0" applyNumberFormat="1" applyFont="1"/>
    <xf numFmtId="178" fontId="15" fillId="0" borderId="1" xfId="0" quotePrefix="1" applyNumberFormat="1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176" fontId="6" fillId="0" borderId="1" xfId="3" applyNumberFormat="1" applyFont="1" applyBorder="1" applyAlignment="1">
      <alignment horizontal="center" vertical="center"/>
    </xf>
    <xf numFmtId="179" fontId="6" fillId="0" borderId="1" xfId="3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3" fillId="0" borderId="0" xfId="0" applyFont="1" applyAlignment="1">
      <alignment horizontal="left"/>
    </xf>
    <xf numFmtId="0" fontId="25" fillId="0" borderId="0" xfId="0" applyFont="1"/>
    <xf numFmtId="0" fontId="35" fillId="0" borderId="0" xfId="0" applyFont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left" wrapText="1"/>
    </xf>
    <xf numFmtId="0" fontId="34" fillId="0" borderId="0" xfId="0" applyFont="1" applyAlignment="1">
      <alignment horizontal="center" vertical="center"/>
    </xf>
    <xf numFmtId="180" fontId="6" fillId="0" borderId="0" xfId="0" applyNumberFormat="1" applyFont="1" applyAlignment="1">
      <alignment horizontal="center"/>
    </xf>
    <xf numFmtId="0" fontId="27" fillId="0" borderId="0" xfId="0" applyFont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3" fillId="0" borderId="0" xfId="0" applyFont="1"/>
    <xf numFmtId="0" fontId="20" fillId="0" borderId="0" xfId="0" applyFont="1"/>
    <xf numFmtId="0" fontId="7" fillId="0" borderId="0" xfId="0" applyFont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37" fillId="0" borderId="0" xfId="0" applyFont="1" applyAlignment="1">
      <alignment horizontal="center" wrapText="1"/>
    </xf>
    <xf numFmtId="0" fontId="35" fillId="0" borderId="0" xfId="0" applyFont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79" fontId="18" fillId="0" borderId="20" xfId="3" applyNumberFormat="1" applyFont="1" applyBorder="1" applyAlignment="1">
      <alignment horizontal="center"/>
    </xf>
    <xf numFmtId="179" fontId="18" fillId="0" borderId="21" xfId="3" applyNumberFormat="1" applyFont="1" applyBorder="1" applyAlignment="1">
      <alignment horizontal="center"/>
    </xf>
    <xf numFmtId="0" fontId="35" fillId="0" borderId="0" xfId="0" applyFont="1" applyAlignment="1">
      <alignment horizontal="left" wrapText="1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 vertical="center"/>
    </xf>
    <xf numFmtId="179" fontId="15" fillId="0" borderId="12" xfId="3" applyNumberFormat="1" applyFont="1" applyBorder="1" applyAlignment="1">
      <alignment horizontal="center" vertical="center"/>
    </xf>
    <xf numFmtId="179" fontId="15" fillId="0" borderId="13" xfId="3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79" fontId="18" fillId="0" borderId="14" xfId="3" applyNumberFormat="1" applyFont="1" applyBorder="1" applyAlignment="1">
      <alignment horizontal="center"/>
    </xf>
    <xf numFmtId="179" fontId="18" fillId="0" borderId="15" xfId="3" applyNumberFormat="1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179" fontId="15" fillId="0" borderId="1" xfId="3" applyNumberFormat="1" applyFont="1" applyBorder="1" applyAlignment="1">
      <alignment horizontal="center"/>
    </xf>
    <xf numFmtId="179" fontId="15" fillId="0" borderId="16" xfId="3" applyNumberFormat="1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 wrapText="1"/>
    </xf>
    <xf numFmtId="0" fontId="34" fillId="0" borderId="9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left" vertical="top"/>
    </xf>
    <xf numFmtId="0" fontId="6" fillId="0" borderId="24" xfId="0" applyFont="1" applyBorder="1" applyAlignment="1">
      <alignment horizontal="left" vertical="top"/>
    </xf>
  </cellXfs>
  <cellStyles count="4">
    <cellStyle name="Comma 2 2 2 2" xfId="1" xr:uid="{284B490D-DF66-490A-AAB4-54ED8F4C485B}"/>
    <cellStyle name="Normal 2" xfId="2" xr:uid="{7333A3D3-607B-46FB-B2C0-DFC75B7A2F4D}"/>
    <cellStyle name="桁区切り [0.00]" xfId="3" builtinId="3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163499</xdr:colOff>
      <xdr:row>4</xdr:row>
      <xdr:rowOff>209550</xdr:rowOff>
    </xdr:from>
    <xdr:to>
      <xdr:col>10</xdr:col>
      <xdr:colOff>23608</xdr:colOff>
      <xdr:row>9</xdr:row>
      <xdr:rowOff>209551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147DD79-2E55-239E-8601-6B87DEB66731}"/>
            </a:ext>
          </a:extLst>
        </xdr:cNvPr>
        <xdr:cNvSpPr txBox="1"/>
      </xdr:nvSpPr>
      <xdr:spPr>
        <a:xfrm>
          <a:off x="4324350" y="1704975"/>
          <a:ext cx="3412916" cy="11715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MASUDA VINYL VIETNAM</a:t>
          </a:r>
          <a:r>
            <a:rPr lang="en-US" altLang="ja-JP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altLang="ja-JP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        </a:t>
          </a:r>
        </a:p>
        <a:p>
          <a:r>
            <a:rPr lang="en-US" altLang="ja-JP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Lô I Đồng vàng, Khu công nghiệp Đình Trám, </a:t>
          </a:r>
          <a:r>
            <a:rPr lang="en-US" altLang="ja-JP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altLang="ja-JP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        Phường</a:t>
          </a:r>
          <a:r>
            <a:rPr lang="en-US" altLang="ja-JP" sz="12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ja-JP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Nếnh</a:t>
          </a:r>
          <a:r>
            <a:rPr lang="en-US" altLang="ja-JP" sz="12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</a:t>
          </a:r>
          <a:r>
            <a:rPr lang="en-US" altLang="ja-JP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Thị</a:t>
          </a:r>
          <a:r>
            <a:rPr lang="en-US" altLang="ja-JP" sz="12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xã</a:t>
          </a:r>
          <a:r>
            <a:rPr lang="en-US" altLang="ja-JP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Việt Yên, Tỉnh Bắc Giang</a:t>
          </a:r>
          <a:r>
            <a:rPr lang="en-US" altLang="ja-JP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altLang="ja-JP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    </a:t>
          </a:r>
          <a:r>
            <a:rPr lang="en-US" altLang="ja-JP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altLang="ja-JP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TELL: 0204-3662-777  FAX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:  0204-3662-825                                </a:t>
          </a:r>
          <a:r>
            <a:rPr lang="en-US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kumimoji="1" lang="ja-JP" alt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163499</xdr:colOff>
      <xdr:row>4</xdr:row>
      <xdr:rowOff>209550</xdr:rowOff>
    </xdr:from>
    <xdr:to>
      <xdr:col>10</xdr:col>
      <xdr:colOff>23608</xdr:colOff>
      <xdr:row>9</xdr:row>
      <xdr:rowOff>209551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6AE2E9B-87FF-4937-904D-7432E1148478}"/>
            </a:ext>
          </a:extLst>
        </xdr:cNvPr>
        <xdr:cNvSpPr txBox="1"/>
      </xdr:nvSpPr>
      <xdr:spPr>
        <a:xfrm>
          <a:off x="4459274" y="1695450"/>
          <a:ext cx="3403409" cy="11715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MASUDA VINYL VIETNAM</a:t>
          </a:r>
          <a:r>
            <a:rPr lang="en-US" altLang="ja-JP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altLang="ja-JP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        </a:t>
          </a:r>
        </a:p>
        <a:p>
          <a:r>
            <a:rPr lang="en-US" altLang="ja-JP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Lô I Đồng vàng, Khu công nghiệp Đình Trám, </a:t>
          </a:r>
          <a:r>
            <a:rPr lang="en-US" altLang="ja-JP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altLang="ja-JP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        Phường</a:t>
          </a:r>
          <a:r>
            <a:rPr lang="en-US" altLang="ja-JP" sz="12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ja-JP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Nếnh</a:t>
          </a:r>
          <a:r>
            <a:rPr lang="en-US" altLang="ja-JP" sz="12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</a:t>
          </a:r>
          <a:r>
            <a:rPr lang="en-US" altLang="ja-JP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Thị</a:t>
          </a:r>
          <a:r>
            <a:rPr lang="en-US" altLang="ja-JP" sz="12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xã</a:t>
          </a:r>
          <a:r>
            <a:rPr lang="en-US" altLang="ja-JP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Việt Yên, Tỉnh Bắc Giang</a:t>
          </a:r>
          <a:r>
            <a:rPr lang="en-US" altLang="ja-JP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altLang="ja-JP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    </a:t>
          </a:r>
          <a:r>
            <a:rPr lang="en-US" altLang="ja-JP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altLang="ja-JP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TELL: 0204-3662-777  FAX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:  0204-3662-825                                </a:t>
          </a:r>
          <a:r>
            <a:rPr lang="en-US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kumimoji="1" lang="ja-JP" alt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163499</xdr:colOff>
      <xdr:row>4</xdr:row>
      <xdr:rowOff>209550</xdr:rowOff>
    </xdr:from>
    <xdr:to>
      <xdr:col>10</xdr:col>
      <xdr:colOff>23608</xdr:colOff>
      <xdr:row>9</xdr:row>
      <xdr:rowOff>209551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EDB367C-909D-4E8B-A486-9102AB7AC93F}"/>
            </a:ext>
          </a:extLst>
        </xdr:cNvPr>
        <xdr:cNvSpPr txBox="1"/>
      </xdr:nvSpPr>
      <xdr:spPr>
        <a:xfrm>
          <a:off x="4459274" y="1695450"/>
          <a:ext cx="3403409" cy="11715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MASUDA VINYL VIETNAM</a:t>
          </a:r>
          <a:r>
            <a:rPr lang="en-US" altLang="ja-JP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altLang="ja-JP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        </a:t>
          </a:r>
        </a:p>
        <a:p>
          <a:r>
            <a:rPr lang="en-US" altLang="ja-JP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Lô I Đồng vàng, Khu công nghiệp Đình Trám, </a:t>
          </a:r>
          <a:r>
            <a:rPr lang="en-US" altLang="ja-JP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altLang="ja-JP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        Phường</a:t>
          </a:r>
          <a:r>
            <a:rPr lang="en-US" altLang="ja-JP" sz="12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ja-JP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Nếnh</a:t>
          </a:r>
          <a:r>
            <a:rPr lang="en-US" altLang="ja-JP" sz="12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</a:t>
          </a:r>
          <a:r>
            <a:rPr lang="en-US" altLang="ja-JP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Thị</a:t>
          </a:r>
          <a:r>
            <a:rPr lang="en-US" altLang="ja-JP" sz="12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xã</a:t>
          </a:r>
          <a:r>
            <a:rPr lang="en-US" altLang="ja-JP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Việt Yên, Tỉnh Bắc Giang</a:t>
          </a:r>
          <a:r>
            <a:rPr lang="en-US" altLang="ja-JP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altLang="ja-JP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    </a:t>
          </a:r>
          <a:r>
            <a:rPr lang="en-US" altLang="ja-JP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altLang="ja-JP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TELL: 0204-3662-777  FAX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:  0204-3662-825                                </a:t>
          </a:r>
          <a:r>
            <a:rPr lang="en-US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kumimoji="1" lang="ja-JP" alt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220D4-73F0-44F7-A538-9FB22186E50E}">
  <sheetPr>
    <pageSetUpPr fitToPage="1"/>
  </sheetPr>
  <dimension ref="B1:J49"/>
  <sheetViews>
    <sheetView showGridLines="0" tabSelected="1" workbookViewId="0"/>
  </sheetViews>
  <sheetFormatPr defaultRowHeight="15"/>
  <cols>
    <col min="1" max="1" width="3.375" style="17" customWidth="1"/>
    <col min="2" max="2" width="4.625" style="1" customWidth="1"/>
    <col min="3" max="3" width="17.625" style="1" customWidth="1"/>
    <col min="4" max="4" width="11.25" style="17" customWidth="1"/>
    <col min="5" max="5" width="7.875" style="17" customWidth="1"/>
    <col min="6" max="6" width="11.625" style="17" customWidth="1"/>
    <col min="7" max="7" width="15.375" style="17" customWidth="1"/>
    <col min="8" max="8" width="15" style="17" customWidth="1"/>
    <col min="9" max="9" width="1" style="17" customWidth="1"/>
    <col min="10" max="10" width="15.125" style="17" customWidth="1"/>
    <col min="11" max="16384" width="9" style="17"/>
  </cols>
  <sheetData>
    <row r="1" spans="2:10" ht="54" customHeight="1">
      <c r="C1" s="63" t="s">
        <v>0</v>
      </c>
      <c r="D1" s="64"/>
      <c r="E1" s="64"/>
      <c r="F1" s="64"/>
      <c r="G1" s="64"/>
      <c r="H1" s="64"/>
      <c r="I1" s="64"/>
      <c r="J1" s="64"/>
    </row>
    <row r="2" spans="2:10" ht="21.75" customHeight="1">
      <c r="C2" s="36"/>
      <c r="D2" s="1"/>
      <c r="E2" s="1"/>
      <c r="F2" s="1"/>
      <c r="G2" s="1"/>
      <c r="H2" s="1"/>
      <c r="I2" s="1"/>
      <c r="J2" s="38" t="s">
        <v>23</v>
      </c>
    </row>
    <row r="3" spans="2:10" ht="21" customHeight="1" thickBot="1">
      <c r="C3" s="2"/>
      <c r="D3" s="3"/>
      <c r="E3" s="3"/>
      <c r="F3" s="3"/>
      <c r="G3" s="3"/>
      <c r="H3" s="3"/>
      <c r="I3" s="3"/>
      <c r="J3" s="37" t="s">
        <v>24</v>
      </c>
    </row>
    <row r="4" spans="2:10" ht="20.25">
      <c r="B4" s="26" t="s">
        <v>14</v>
      </c>
      <c r="C4" s="4"/>
      <c r="D4" s="4"/>
      <c r="E4" s="4"/>
      <c r="J4" s="31">
        <v>45660</v>
      </c>
    </row>
    <row r="5" spans="2:10" ht="18.75" customHeight="1">
      <c r="B5" s="35" t="s">
        <v>22</v>
      </c>
      <c r="C5" s="34" t="s">
        <v>21</v>
      </c>
      <c r="D5" s="34"/>
      <c r="E5" s="34"/>
      <c r="F5" s="34"/>
      <c r="G5" s="34"/>
      <c r="H5" s="34"/>
      <c r="I5" s="34"/>
      <c r="J5" s="34"/>
    </row>
    <row r="6" spans="2:10" ht="18.75" customHeight="1">
      <c r="B6" s="24" t="s">
        <v>11</v>
      </c>
      <c r="C6" s="25" t="s">
        <v>15</v>
      </c>
      <c r="D6" s="11"/>
      <c r="E6" s="11"/>
      <c r="F6" s="11"/>
      <c r="G6" s="11"/>
      <c r="H6" s="11"/>
      <c r="I6" s="11"/>
      <c r="J6" s="11"/>
    </row>
    <row r="7" spans="2:10" ht="18.75" customHeight="1">
      <c r="B7" s="65"/>
      <c r="C7" s="65"/>
      <c r="D7" s="65"/>
      <c r="E7" s="2"/>
      <c r="F7" s="5"/>
      <c r="G7" s="5"/>
      <c r="H7" s="5"/>
      <c r="I7" s="5"/>
    </row>
    <row r="8" spans="2:10" s="8" customFormat="1" ht="18" customHeight="1">
      <c r="B8" s="6"/>
      <c r="C8" s="6"/>
      <c r="D8" s="7"/>
      <c r="E8" s="7"/>
      <c r="F8" s="17"/>
      <c r="G8" s="17"/>
      <c r="H8" s="17"/>
      <c r="I8" s="6"/>
    </row>
    <row r="9" spans="2:10" s="8" customFormat="1" ht="18" customHeight="1">
      <c r="B9" s="66" t="s">
        <v>16</v>
      </c>
      <c r="C9" s="66"/>
      <c r="D9" s="66"/>
      <c r="E9" s="66"/>
      <c r="F9" s="66"/>
      <c r="G9" s="66"/>
      <c r="H9" s="17"/>
      <c r="I9" s="17"/>
    </row>
    <row r="10" spans="2:10" ht="18" customHeight="1">
      <c r="B10" s="67" t="s">
        <v>1</v>
      </c>
      <c r="C10" s="67"/>
      <c r="D10" s="67"/>
      <c r="E10" s="67"/>
      <c r="F10" s="67"/>
      <c r="G10" s="67"/>
    </row>
    <row r="11" spans="2:10" ht="18" customHeight="1" thickBot="1">
      <c r="D11" s="1"/>
      <c r="E11" s="1"/>
      <c r="F11" s="1"/>
      <c r="G11" s="18"/>
    </row>
    <row r="12" spans="2:10" ht="36" customHeight="1">
      <c r="B12" s="12" t="s">
        <v>2</v>
      </c>
      <c r="C12" s="68" t="s">
        <v>3</v>
      </c>
      <c r="D12" s="69"/>
      <c r="E12" s="13" t="s">
        <v>6</v>
      </c>
      <c r="F12" s="14" t="s">
        <v>7</v>
      </c>
      <c r="G12" s="14" t="s">
        <v>8</v>
      </c>
      <c r="H12" s="14" t="s">
        <v>4</v>
      </c>
      <c r="I12" s="68" t="s">
        <v>5</v>
      </c>
      <c r="J12" s="70"/>
    </row>
    <row r="13" spans="2:10" ht="16.5">
      <c r="B13" s="16">
        <v>1</v>
      </c>
      <c r="C13" s="49" t="s">
        <v>17</v>
      </c>
      <c r="D13" s="49"/>
      <c r="E13" s="9" t="s">
        <v>13</v>
      </c>
      <c r="F13" s="10">
        <v>500</v>
      </c>
      <c r="G13" s="23">
        <v>6600</v>
      </c>
      <c r="H13" s="19"/>
      <c r="I13" s="53">
        <f>IF(NOT(G13*F13=0), G13*F13, "")</f>
        <v>3300000</v>
      </c>
      <c r="J13" s="54"/>
    </row>
    <row r="14" spans="2:10" ht="21" customHeight="1">
      <c r="B14" s="16">
        <f>B13+1</f>
        <v>2</v>
      </c>
      <c r="C14" s="49"/>
      <c r="D14" s="49"/>
      <c r="E14" s="9"/>
      <c r="F14" s="10"/>
      <c r="G14" s="23"/>
      <c r="H14" s="19"/>
      <c r="I14" s="53" t="str">
        <f>IF(NOT(G14*F14=0), G14*F14, "")</f>
        <v/>
      </c>
      <c r="J14" s="54"/>
    </row>
    <row r="15" spans="2:10" ht="20.100000000000001" customHeight="1">
      <c r="B15" s="15">
        <f>B14+1</f>
        <v>3</v>
      </c>
      <c r="C15" s="52"/>
      <c r="D15" s="52"/>
      <c r="E15" s="9"/>
      <c r="F15" s="10"/>
      <c r="G15" s="22"/>
      <c r="H15" s="19"/>
      <c r="I15" s="53" t="str">
        <f t="shared" ref="I15:I19" si="0">IF(NOT(G15*F15=0), G15*F15, "")</f>
        <v/>
      </c>
      <c r="J15" s="54"/>
    </row>
    <row r="16" spans="2:10" ht="20.100000000000001" customHeight="1">
      <c r="B16" s="15">
        <f>B15+1</f>
        <v>4</v>
      </c>
      <c r="C16" s="52"/>
      <c r="D16" s="52"/>
      <c r="E16" s="9"/>
      <c r="F16" s="10"/>
      <c r="G16" s="22"/>
      <c r="H16" s="19"/>
      <c r="I16" s="53" t="str">
        <f t="shared" si="0"/>
        <v/>
      </c>
      <c r="J16" s="54"/>
    </row>
    <row r="17" spans="2:10" ht="20.100000000000001" customHeight="1">
      <c r="B17" s="15">
        <f>B16+1</f>
        <v>5</v>
      </c>
      <c r="C17" s="52"/>
      <c r="D17" s="52"/>
      <c r="E17" s="9"/>
      <c r="F17" s="10"/>
      <c r="G17" s="22"/>
      <c r="H17" s="19"/>
      <c r="I17" s="53" t="str">
        <f t="shared" si="0"/>
        <v/>
      </c>
      <c r="J17" s="54"/>
    </row>
    <row r="18" spans="2:10" ht="20.100000000000001" customHeight="1">
      <c r="B18" s="15">
        <f>B17+1</f>
        <v>6</v>
      </c>
      <c r="C18" s="52"/>
      <c r="D18" s="52"/>
      <c r="E18" s="9"/>
      <c r="F18" s="10"/>
      <c r="G18" s="22"/>
      <c r="H18" s="19"/>
      <c r="I18" s="53" t="str">
        <f t="shared" si="0"/>
        <v/>
      </c>
      <c r="J18" s="54"/>
    </row>
    <row r="19" spans="2:10" ht="20.100000000000001" customHeight="1">
      <c r="B19" s="15">
        <v>7</v>
      </c>
      <c r="C19" s="52"/>
      <c r="D19" s="52"/>
      <c r="E19" s="9"/>
      <c r="F19" s="10"/>
      <c r="G19" s="22"/>
      <c r="H19" s="19"/>
      <c r="I19" s="53" t="str">
        <f t="shared" si="0"/>
        <v/>
      </c>
      <c r="J19" s="54"/>
    </row>
    <row r="20" spans="2:10" ht="30" customHeight="1">
      <c r="B20" s="55" t="s">
        <v>9</v>
      </c>
      <c r="C20" s="56"/>
      <c r="D20" s="56"/>
      <c r="E20" s="56"/>
      <c r="F20" s="56"/>
      <c r="G20" s="56"/>
      <c r="H20" s="57"/>
      <c r="I20" s="58">
        <f>SUM(I13:J19)</f>
        <v>3300000</v>
      </c>
      <c r="J20" s="59"/>
    </row>
    <row r="21" spans="2:10" ht="30" customHeight="1">
      <c r="B21" s="60" t="s">
        <v>12</v>
      </c>
      <c r="C21" s="56"/>
      <c r="D21" s="56"/>
      <c r="E21" s="56"/>
      <c r="F21" s="56"/>
      <c r="G21" s="56"/>
      <c r="H21" s="57"/>
      <c r="I21" s="61"/>
      <c r="J21" s="62"/>
    </row>
    <row r="22" spans="2:10" ht="30" customHeight="1" thickBot="1">
      <c r="B22" s="41" t="s">
        <v>10</v>
      </c>
      <c r="C22" s="42"/>
      <c r="D22" s="42"/>
      <c r="E22" s="42"/>
      <c r="F22" s="42"/>
      <c r="G22" s="42"/>
      <c r="H22" s="43"/>
      <c r="I22" s="44">
        <f>I20+I21</f>
        <v>3300000</v>
      </c>
      <c r="J22" s="45"/>
    </row>
    <row r="23" spans="2:10" ht="44.25" customHeight="1" thickBot="1">
      <c r="B23" s="75"/>
      <c r="C23" s="76"/>
      <c r="D23" s="76"/>
      <c r="E23" s="76"/>
      <c r="F23" s="76"/>
      <c r="G23" s="76"/>
      <c r="H23" s="76"/>
      <c r="I23" s="76"/>
      <c r="J23" s="77"/>
    </row>
    <row r="24" spans="2:10" ht="17.25" customHeight="1">
      <c r="D24" s="1"/>
      <c r="E24" s="1"/>
      <c r="F24" s="1"/>
      <c r="G24" s="1"/>
    </row>
    <row r="25" spans="2:10" ht="48" customHeight="1">
      <c r="B25" s="46"/>
      <c r="C25" s="46"/>
      <c r="D25" s="46"/>
      <c r="E25" s="29"/>
      <c r="F25" s="32"/>
      <c r="G25" s="33" t="s">
        <v>18</v>
      </c>
      <c r="H25" s="33" t="s">
        <v>19</v>
      </c>
      <c r="I25" s="50" t="s">
        <v>20</v>
      </c>
      <c r="J25" s="50"/>
    </row>
    <row r="26" spans="2:10" ht="36.75" customHeight="1">
      <c r="B26" s="30"/>
      <c r="C26" s="47"/>
      <c r="D26" s="48"/>
      <c r="E26" s="30"/>
      <c r="F26" s="47"/>
      <c r="G26" s="49"/>
      <c r="H26" s="49"/>
      <c r="I26" s="51"/>
      <c r="J26" s="51"/>
    </row>
    <row r="27" spans="2:10" ht="30" customHeight="1">
      <c r="B27" s="28"/>
      <c r="C27" s="39"/>
      <c r="D27" s="39"/>
      <c r="E27" s="27"/>
      <c r="F27" s="47"/>
      <c r="G27" s="49"/>
      <c r="H27" s="49"/>
      <c r="I27" s="51"/>
      <c r="J27" s="51"/>
    </row>
    <row r="28" spans="2:10" ht="30" customHeight="1">
      <c r="B28" s="6"/>
      <c r="C28" s="39"/>
      <c r="D28" s="39"/>
      <c r="E28" s="27"/>
      <c r="F28" s="20"/>
      <c r="G28" s="20"/>
      <c r="H28" s="6"/>
      <c r="I28" s="6"/>
      <c r="J28" s="8"/>
    </row>
    <row r="29" spans="2:10" ht="30" customHeight="1">
      <c r="B29" s="6"/>
      <c r="C29" s="39"/>
      <c r="D29" s="39"/>
      <c r="E29" s="27"/>
      <c r="F29" s="20"/>
      <c r="G29" s="20"/>
      <c r="H29" s="6"/>
      <c r="I29" s="6"/>
      <c r="J29" s="8"/>
    </row>
    <row r="30" spans="2:10" ht="30" customHeight="1">
      <c r="B30" s="6"/>
      <c r="C30" s="39"/>
      <c r="D30" s="39"/>
      <c r="E30" s="27"/>
      <c r="F30" s="20"/>
      <c r="G30" s="20"/>
      <c r="H30" s="6"/>
      <c r="I30" s="6"/>
      <c r="J30" s="8"/>
    </row>
    <row r="31" spans="2:10" ht="30" customHeight="1">
      <c r="B31" s="6"/>
      <c r="C31" s="39"/>
      <c r="D31" s="39"/>
      <c r="E31" s="27"/>
      <c r="F31" s="20"/>
      <c r="G31" s="20"/>
      <c r="H31" s="6"/>
      <c r="I31" s="6"/>
      <c r="J31" s="8"/>
    </row>
    <row r="32" spans="2:10" ht="30" customHeight="1">
      <c r="B32" s="6"/>
      <c r="C32" s="39"/>
      <c r="D32" s="39"/>
      <c r="E32" s="27"/>
      <c r="F32" s="21"/>
      <c r="G32" s="21"/>
      <c r="H32" s="8"/>
      <c r="I32" s="8"/>
      <c r="J32" s="8"/>
    </row>
    <row r="33" spans="2:10" ht="30" customHeight="1">
      <c r="B33" s="6"/>
      <c r="C33" s="40"/>
      <c r="D33" s="40"/>
      <c r="E33" s="28"/>
      <c r="F33" s="21"/>
      <c r="G33" s="21"/>
      <c r="H33" s="8"/>
      <c r="I33" s="8"/>
      <c r="J33" s="8"/>
    </row>
    <row r="34" spans="2:10" ht="30" customHeight="1">
      <c r="B34" s="6"/>
      <c r="C34" s="40"/>
      <c r="D34" s="40"/>
      <c r="E34" s="28"/>
      <c r="F34" s="21"/>
      <c r="G34" s="21"/>
      <c r="H34" s="8"/>
      <c r="I34" s="8"/>
      <c r="J34" s="8"/>
    </row>
    <row r="35" spans="2:10" ht="30" customHeight="1">
      <c r="B35" s="6"/>
      <c r="C35" s="40"/>
      <c r="D35" s="40"/>
      <c r="E35" s="28"/>
      <c r="F35" s="21"/>
      <c r="G35" s="21"/>
      <c r="H35" s="8"/>
      <c r="I35" s="8"/>
      <c r="J35" s="8"/>
    </row>
    <row r="36" spans="2:10" ht="20.25" customHeight="1"/>
    <row r="37" spans="2:10" ht="20.25" customHeight="1"/>
    <row r="38" spans="2:10" ht="20.25" customHeight="1"/>
    <row r="39" spans="2:10" ht="20.25" customHeight="1"/>
    <row r="40" spans="2:10" ht="20.25" customHeight="1"/>
    <row r="41" spans="2:10" ht="20.25" customHeight="1"/>
    <row r="42" spans="2:10" ht="20.25" customHeight="1"/>
    <row r="43" spans="2:10" ht="20.25" customHeight="1"/>
    <row r="44" spans="2:10" ht="20.25" customHeight="1"/>
    <row r="45" spans="2:10" ht="20.25" customHeight="1"/>
    <row r="46" spans="2:10" ht="20.25" customHeight="1"/>
    <row r="47" spans="2:10" ht="20.25" customHeight="1"/>
    <row r="48" spans="2:10" ht="20.25" customHeight="1"/>
    <row r="49" ht="20.25" customHeight="1"/>
  </sheetData>
  <mergeCells count="43">
    <mergeCell ref="C1:J1"/>
    <mergeCell ref="B7:D7"/>
    <mergeCell ref="B9:G9"/>
    <mergeCell ref="B10:G10"/>
    <mergeCell ref="C12:D12"/>
    <mergeCell ref="I12:J12"/>
    <mergeCell ref="C13:D13"/>
    <mergeCell ref="I13:J13"/>
    <mergeCell ref="C14:D14"/>
    <mergeCell ref="I14:J14"/>
    <mergeCell ref="C15:D15"/>
    <mergeCell ref="I15:J15"/>
    <mergeCell ref="C16:D16"/>
    <mergeCell ref="I16:J16"/>
    <mergeCell ref="C17:D17"/>
    <mergeCell ref="I17:J17"/>
    <mergeCell ref="C18:D18"/>
    <mergeCell ref="I18:J18"/>
    <mergeCell ref="C19:D19"/>
    <mergeCell ref="I19:J19"/>
    <mergeCell ref="B20:H20"/>
    <mergeCell ref="I20:J20"/>
    <mergeCell ref="B21:H21"/>
    <mergeCell ref="I21:J21"/>
    <mergeCell ref="B22:H22"/>
    <mergeCell ref="I22:J22"/>
    <mergeCell ref="B23:J23"/>
    <mergeCell ref="B25:D25"/>
    <mergeCell ref="C26:D26"/>
    <mergeCell ref="G26:G27"/>
    <mergeCell ref="H26:H27"/>
    <mergeCell ref="F26:F27"/>
    <mergeCell ref="I25:J25"/>
    <mergeCell ref="I26:J27"/>
    <mergeCell ref="C32:D32"/>
    <mergeCell ref="C33:D33"/>
    <mergeCell ref="C34:D34"/>
    <mergeCell ref="C35:D35"/>
    <mergeCell ref="C27:D27"/>
    <mergeCell ref="C28:D28"/>
    <mergeCell ref="C29:D29"/>
    <mergeCell ref="C30:D30"/>
    <mergeCell ref="C31:D31"/>
  </mergeCells>
  <phoneticPr fontId="2"/>
  <pageMargins left="0.12" right="0.16" top="0.22" bottom="0.12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580D3-4B31-48C4-B848-B1ADA3EE6EBB}">
  <sheetPr>
    <pageSetUpPr fitToPage="1"/>
  </sheetPr>
  <dimension ref="B1:J54"/>
  <sheetViews>
    <sheetView showGridLines="0" workbookViewId="0"/>
  </sheetViews>
  <sheetFormatPr defaultRowHeight="15"/>
  <cols>
    <col min="1" max="1" width="3.375" style="17" customWidth="1"/>
    <col min="2" max="2" width="4.625" style="1" customWidth="1"/>
    <col min="3" max="3" width="17.625" style="1" customWidth="1"/>
    <col min="4" max="4" width="11.25" style="17" customWidth="1"/>
    <col min="5" max="5" width="7.875" style="17" customWidth="1"/>
    <col min="6" max="6" width="11.625" style="17" customWidth="1"/>
    <col min="7" max="7" width="15.375" style="17" customWidth="1"/>
    <col min="8" max="8" width="15" style="17" customWidth="1"/>
    <col min="9" max="9" width="1" style="17" customWidth="1"/>
    <col min="10" max="10" width="15.125" style="17" customWidth="1"/>
    <col min="11" max="16384" width="9" style="17"/>
  </cols>
  <sheetData>
    <row r="1" spans="2:10" ht="54" customHeight="1">
      <c r="C1" s="63" t="s">
        <v>0</v>
      </c>
      <c r="D1" s="64"/>
      <c r="E1" s="64"/>
      <c r="F1" s="64"/>
      <c r="G1" s="64"/>
      <c r="H1" s="64"/>
      <c r="I1" s="64"/>
      <c r="J1" s="64"/>
    </row>
    <row r="2" spans="2:10" ht="21.75" customHeight="1">
      <c r="C2" s="36"/>
      <c r="D2" s="1"/>
      <c r="E2" s="1"/>
      <c r="F2" s="1"/>
      <c r="G2" s="1"/>
      <c r="H2" s="1"/>
      <c r="I2" s="1"/>
      <c r="J2" s="38" t="s">
        <v>23</v>
      </c>
    </row>
    <row r="3" spans="2:10" ht="21" customHeight="1" thickBot="1">
      <c r="C3" s="2"/>
      <c r="D3" s="3"/>
      <c r="E3" s="3"/>
      <c r="F3" s="3"/>
      <c r="G3" s="3"/>
      <c r="H3" s="3"/>
      <c r="I3" s="3"/>
      <c r="J3" s="37" t="s">
        <v>24</v>
      </c>
    </row>
    <row r="4" spans="2:10" ht="20.25">
      <c r="B4" s="26" t="s">
        <v>14</v>
      </c>
      <c r="C4" s="4"/>
      <c r="D4" s="4"/>
      <c r="E4" s="4"/>
      <c r="J4" s="31">
        <v>45660</v>
      </c>
    </row>
    <row r="5" spans="2:10" ht="18.75" customHeight="1">
      <c r="B5" s="35" t="s">
        <v>22</v>
      </c>
      <c r="C5" s="34" t="s">
        <v>21</v>
      </c>
      <c r="D5" s="34"/>
      <c r="E5" s="34"/>
      <c r="F5" s="34"/>
      <c r="G5" s="34"/>
      <c r="H5" s="34"/>
      <c r="I5" s="34"/>
      <c r="J5" s="34"/>
    </row>
    <row r="6" spans="2:10" ht="18.75" customHeight="1">
      <c r="B6" s="24" t="s">
        <v>11</v>
      </c>
      <c r="C6" s="25" t="s">
        <v>15</v>
      </c>
      <c r="D6" s="11"/>
      <c r="E6" s="11"/>
      <c r="F6" s="11"/>
      <c r="G6" s="11"/>
      <c r="H6" s="11"/>
      <c r="I6" s="11"/>
      <c r="J6" s="11"/>
    </row>
    <row r="7" spans="2:10" ht="18.75" customHeight="1">
      <c r="B7" s="65"/>
      <c r="C7" s="65"/>
      <c r="D7" s="65"/>
      <c r="E7" s="2"/>
      <c r="F7" s="5"/>
      <c r="G7" s="5"/>
      <c r="H7" s="5"/>
      <c r="I7" s="5"/>
    </row>
    <row r="8" spans="2:10" s="8" customFormat="1" ht="18" customHeight="1">
      <c r="B8" s="6"/>
      <c r="C8" s="6"/>
      <c r="D8" s="7"/>
      <c r="E8" s="7"/>
      <c r="F8" s="17"/>
      <c r="G8" s="17"/>
      <c r="H8" s="17"/>
      <c r="I8" s="6"/>
    </row>
    <row r="9" spans="2:10" s="8" customFormat="1" ht="18" customHeight="1">
      <c r="B9" s="66" t="s">
        <v>16</v>
      </c>
      <c r="C9" s="66"/>
      <c r="D9" s="66"/>
      <c r="E9" s="66"/>
      <c r="F9" s="66"/>
      <c r="G9" s="66"/>
      <c r="H9" s="17"/>
      <c r="I9" s="17"/>
    </row>
    <row r="10" spans="2:10" ht="18" customHeight="1">
      <c r="B10" s="67" t="s">
        <v>1</v>
      </c>
      <c r="C10" s="67"/>
      <c r="D10" s="67"/>
      <c r="E10" s="67"/>
      <c r="F10" s="67"/>
      <c r="G10" s="67"/>
    </row>
    <row r="11" spans="2:10" ht="18" customHeight="1" thickBot="1">
      <c r="D11" s="1"/>
      <c r="E11" s="1"/>
      <c r="F11" s="1"/>
      <c r="G11" s="18"/>
    </row>
    <row r="12" spans="2:10" ht="36" customHeight="1">
      <c r="B12" s="12" t="s">
        <v>2</v>
      </c>
      <c r="C12" s="68" t="s">
        <v>3</v>
      </c>
      <c r="D12" s="69"/>
      <c r="E12" s="13" t="s">
        <v>6</v>
      </c>
      <c r="F12" s="14" t="s">
        <v>7</v>
      </c>
      <c r="G12" s="14" t="s">
        <v>8</v>
      </c>
      <c r="H12" s="14" t="s">
        <v>4</v>
      </c>
      <c r="I12" s="68" t="s">
        <v>5</v>
      </c>
      <c r="J12" s="70"/>
    </row>
    <row r="13" spans="2:10" ht="16.5">
      <c r="B13" s="16">
        <v>1</v>
      </c>
      <c r="C13" s="49" t="s">
        <v>17</v>
      </c>
      <c r="D13" s="49"/>
      <c r="E13" s="9" t="s">
        <v>13</v>
      </c>
      <c r="F13" s="10">
        <v>500</v>
      </c>
      <c r="G13" s="23">
        <v>6600</v>
      </c>
      <c r="H13" s="19"/>
      <c r="I13" s="53">
        <f>IF(NOT(G13*F13=0), G13*F13, "")</f>
        <v>3300000</v>
      </c>
      <c r="J13" s="54"/>
    </row>
    <row r="14" spans="2:10" ht="21" customHeight="1">
      <c r="B14" s="16">
        <v>2</v>
      </c>
      <c r="C14" s="49"/>
      <c r="D14" s="49"/>
      <c r="E14" s="9"/>
      <c r="F14" s="10"/>
      <c r="G14" s="23"/>
      <c r="H14" s="19"/>
      <c r="I14" s="53" t="str">
        <f t="shared" ref="I14:I24" si="0">IF(NOT(G14*F14=0), G14*F14, "")</f>
        <v/>
      </c>
      <c r="J14" s="54"/>
    </row>
    <row r="15" spans="2:10" ht="20.100000000000001" customHeight="1">
      <c r="B15" s="16">
        <v>3</v>
      </c>
      <c r="C15" s="52"/>
      <c r="D15" s="52"/>
      <c r="E15" s="9"/>
      <c r="F15" s="10"/>
      <c r="G15" s="22"/>
      <c r="H15" s="19"/>
      <c r="I15" s="53" t="str">
        <f t="shared" si="0"/>
        <v/>
      </c>
      <c r="J15" s="54"/>
    </row>
    <row r="16" spans="2:10" ht="20.100000000000001" customHeight="1">
      <c r="B16" s="16">
        <v>4</v>
      </c>
      <c r="C16" s="52"/>
      <c r="D16" s="52"/>
      <c r="E16" s="9"/>
      <c r="F16" s="10"/>
      <c r="G16" s="22"/>
      <c r="H16" s="19"/>
      <c r="I16" s="53" t="str">
        <f t="shared" si="0"/>
        <v/>
      </c>
      <c r="J16" s="54"/>
    </row>
    <row r="17" spans="2:10" ht="20.100000000000001" customHeight="1">
      <c r="B17" s="16">
        <v>5</v>
      </c>
      <c r="C17" s="52"/>
      <c r="D17" s="52"/>
      <c r="E17" s="9"/>
      <c r="F17" s="10"/>
      <c r="G17" s="22"/>
      <c r="H17" s="19"/>
      <c r="I17" s="53" t="str">
        <f t="shared" si="0"/>
        <v/>
      </c>
      <c r="J17" s="54"/>
    </row>
    <row r="18" spans="2:10" ht="20.100000000000001" customHeight="1">
      <c r="B18" s="16">
        <v>6</v>
      </c>
      <c r="C18" s="52"/>
      <c r="D18" s="52"/>
      <c r="E18" s="9"/>
      <c r="F18" s="10"/>
      <c r="G18" s="22"/>
      <c r="H18" s="19"/>
      <c r="I18" s="53" t="str">
        <f t="shared" si="0"/>
        <v/>
      </c>
      <c r="J18" s="54"/>
    </row>
    <row r="19" spans="2:10" ht="20.100000000000001" customHeight="1">
      <c r="B19" s="16">
        <v>7</v>
      </c>
      <c r="C19" s="52"/>
      <c r="D19" s="52"/>
      <c r="E19" s="9"/>
      <c r="F19" s="10"/>
      <c r="G19" s="22"/>
      <c r="H19" s="19"/>
      <c r="I19" s="53" t="str">
        <f t="shared" si="0"/>
        <v/>
      </c>
      <c r="J19" s="54"/>
    </row>
    <row r="20" spans="2:10" ht="20.100000000000001" customHeight="1">
      <c r="B20" s="16">
        <v>8</v>
      </c>
      <c r="C20" s="52"/>
      <c r="D20" s="52"/>
      <c r="E20" s="9"/>
      <c r="F20" s="10"/>
      <c r="G20" s="22"/>
      <c r="H20" s="19"/>
      <c r="I20" s="53" t="str">
        <f t="shared" si="0"/>
        <v/>
      </c>
      <c r="J20" s="54"/>
    </row>
    <row r="21" spans="2:10" ht="20.100000000000001" customHeight="1">
      <c r="B21" s="16">
        <v>9</v>
      </c>
      <c r="C21" s="52"/>
      <c r="D21" s="52"/>
      <c r="E21" s="9"/>
      <c r="F21" s="10"/>
      <c r="G21" s="22"/>
      <c r="H21" s="19"/>
      <c r="I21" s="53" t="str">
        <f t="shared" si="0"/>
        <v/>
      </c>
      <c r="J21" s="54"/>
    </row>
    <row r="22" spans="2:10" ht="20.100000000000001" customHeight="1">
      <c r="B22" s="16">
        <v>10</v>
      </c>
      <c r="C22" s="52"/>
      <c r="D22" s="52"/>
      <c r="E22" s="9"/>
      <c r="F22" s="10"/>
      <c r="G22" s="22"/>
      <c r="H22" s="19"/>
      <c r="I22" s="53" t="str">
        <f t="shared" si="0"/>
        <v/>
      </c>
      <c r="J22" s="54"/>
    </row>
    <row r="23" spans="2:10" ht="20.100000000000001" customHeight="1">
      <c r="B23" s="16">
        <v>11</v>
      </c>
      <c r="C23" s="71"/>
      <c r="D23" s="72"/>
      <c r="E23" s="9"/>
      <c r="F23" s="10"/>
      <c r="G23" s="22"/>
      <c r="H23" s="19"/>
      <c r="I23" s="53" t="str">
        <f t="shared" si="0"/>
        <v/>
      </c>
      <c r="J23" s="54"/>
    </row>
    <row r="24" spans="2:10" ht="20.100000000000001" customHeight="1">
      <c r="B24" s="16">
        <v>12</v>
      </c>
      <c r="C24" s="52"/>
      <c r="D24" s="52"/>
      <c r="E24" s="9"/>
      <c r="F24" s="10"/>
      <c r="G24" s="22"/>
      <c r="H24" s="19"/>
      <c r="I24" s="53" t="str">
        <f t="shared" si="0"/>
        <v/>
      </c>
      <c r="J24" s="54"/>
    </row>
    <row r="25" spans="2:10" ht="30" customHeight="1">
      <c r="B25" s="55" t="s">
        <v>9</v>
      </c>
      <c r="C25" s="56"/>
      <c r="D25" s="56"/>
      <c r="E25" s="56"/>
      <c r="F25" s="56"/>
      <c r="G25" s="56"/>
      <c r="H25" s="57"/>
      <c r="I25" s="58">
        <f>SUM(I13:J24)</f>
        <v>3300000</v>
      </c>
      <c r="J25" s="59"/>
    </row>
    <row r="26" spans="2:10" ht="30" customHeight="1">
      <c r="B26" s="60" t="s">
        <v>12</v>
      </c>
      <c r="C26" s="56"/>
      <c r="D26" s="56"/>
      <c r="E26" s="56"/>
      <c r="F26" s="56"/>
      <c r="G26" s="56"/>
      <c r="H26" s="57"/>
      <c r="I26" s="61"/>
      <c r="J26" s="62"/>
    </row>
    <row r="27" spans="2:10" ht="30" customHeight="1" thickBot="1">
      <c r="B27" s="41" t="s">
        <v>10</v>
      </c>
      <c r="C27" s="42"/>
      <c r="D27" s="42"/>
      <c r="E27" s="42"/>
      <c r="F27" s="42"/>
      <c r="G27" s="42"/>
      <c r="H27" s="43"/>
      <c r="I27" s="44">
        <f>I25+I26</f>
        <v>3300000</v>
      </c>
      <c r="J27" s="45"/>
    </row>
    <row r="28" spans="2:10" ht="44.25" customHeight="1" thickBot="1">
      <c r="B28" s="75"/>
      <c r="C28" s="76"/>
      <c r="D28" s="76"/>
      <c r="E28" s="76"/>
      <c r="F28" s="76"/>
      <c r="G28" s="76"/>
      <c r="H28" s="76"/>
      <c r="I28" s="76"/>
      <c r="J28" s="77"/>
    </row>
    <row r="29" spans="2:10" ht="17.25" customHeight="1">
      <c r="D29" s="1"/>
      <c r="E29" s="1"/>
      <c r="F29" s="1"/>
      <c r="G29" s="1"/>
    </row>
    <row r="30" spans="2:10" ht="48" customHeight="1">
      <c r="B30" s="46"/>
      <c r="C30" s="46"/>
      <c r="D30" s="46"/>
      <c r="E30" s="29"/>
      <c r="F30" s="32"/>
      <c r="G30" s="33" t="s">
        <v>18</v>
      </c>
      <c r="H30" s="33" t="s">
        <v>19</v>
      </c>
      <c r="I30" s="50" t="s">
        <v>20</v>
      </c>
      <c r="J30" s="50"/>
    </row>
    <row r="31" spans="2:10" ht="36.75" customHeight="1">
      <c r="B31" s="30"/>
      <c r="C31" s="47"/>
      <c r="D31" s="48"/>
      <c r="E31" s="30"/>
      <c r="F31" s="47"/>
      <c r="G31" s="49"/>
      <c r="H31" s="49"/>
      <c r="I31" s="51"/>
      <c r="J31" s="51"/>
    </row>
    <row r="32" spans="2:10" ht="30" customHeight="1">
      <c r="B32" s="28"/>
      <c r="C32" s="39"/>
      <c r="D32" s="39"/>
      <c r="E32" s="27"/>
      <c r="F32" s="47"/>
      <c r="G32" s="49"/>
      <c r="H32" s="49"/>
      <c r="I32" s="51"/>
      <c r="J32" s="51"/>
    </row>
    <row r="33" spans="2:10" ht="30" customHeight="1">
      <c r="B33" s="6"/>
      <c r="C33" s="39"/>
      <c r="D33" s="39"/>
      <c r="E33" s="27"/>
      <c r="F33" s="20"/>
      <c r="G33" s="20"/>
      <c r="H33" s="6"/>
      <c r="I33" s="6"/>
      <c r="J33" s="8"/>
    </row>
    <row r="34" spans="2:10" ht="30" customHeight="1">
      <c r="B34" s="6"/>
      <c r="C34" s="39"/>
      <c r="D34" s="39"/>
      <c r="E34" s="27"/>
      <c r="F34" s="20"/>
      <c r="G34" s="20"/>
      <c r="H34" s="6"/>
      <c r="I34" s="6"/>
      <c r="J34" s="8"/>
    </row>
    <row r="35" spans="2:10" ht="30" customHeight="1">
      <c r="B35" s="6"/>
      <c r="C35" s="39"/>
      <c r="D35" s="39"/>
      <c r="E35" s="27"/>
      <c r="F35" s="20"/>
      <c r="G35" s="20"/>
      <c r="H35" s="6"/>
      <c r="I35" s="6"/>
      <c r="J35" s="8"/>
    </row>
    <row r="36" spans="2:10" ht="30" customHeight="1">
      <c r="B36" s="6"/>
      <c r="C36" s="39"/>
      <c r="D36" s="39"/>
      <c r="E36" s="27"/>
      <c r="F36" s="20"/>
      <c r="G36" s="20"/>
      <c r="H36" s="6"/>
      <c r="I36" s="6"/>
      <c r="J36" s="8"/>
    </row>
    <row r="37" spans="2:10" ht="30" customHeight="1">
      <c r="B37" s="6"/>
      <c r="C37" s="39"/>
      <c r="D37" s="39"/>
      <c r="E37" s="27"/>
      <c r="F37" s="21"/>
      <c r="G37" s="21"/>
      <c r="H37" s="8"/>
      <c r="I37" s="8"/>
      <c r="J37" s="8"/>
    </row>
    <row r="38" spans="2:10" ht="30" customHeight="1">
      <c r="B38" s="6"/>
      <c r="C38" s="40"/>
      <c r="D38" s="40"/>
      <c r="E38" s="28"/>
      <c r="F38" s="21"/>
      <c r="G38" s="21"/>
      <c r="H38" s="8"/>
      <c r="I38" s="8"/>
      <c r="J38" s="8"/>
    </row>
    <row r="39" spans="2:10" ht="30" customHeight="1">
      <c r="B39" s="6"/>
      <c r="C39" s="40"/>
      <c r="D39" s="40"/>
      <c r="E39" s="28"/>
      <c r="F39" s="21"/>
      <c r="G39" s="21"/>
      <c r="H39" s="8"/>
      <c r="I39" s="8"/>
      <c r="J39" s="8"/>
    </row>
    <row r="40" spans="2:10" ht="30" customHeight="1">
      <c r="B40" s="6"/>
      <c r="C40" s="40"/>
      <c r="D40" s="40"/>
      <c r="E40" s="28"/>
      <c r="F40" s="21"/>
      <c r="G40" s="21"/>
      <c r="H40" s="8"/>
      <c r="I40" s="8"/>
      <c r="J40" s="8"/>
    </row>
    <row r="41" spans="2:10" ht="20.25" customHeight="1"/>
    <row r="42" spans="2:10" ht="20.25" customHeight="1"/>
    <row r="43" spans="2:10" ht="20.25" customHeight="1"/>
    <row r="44" spans="2:10" ht="20.25" customHeight="1"/>
    <row r="45" spans="2:10" ht="20.25" customHeight="1"/>
    <row r="46" spans="2:10" ht="20.25" customHeight="1"/>
    <row r="47" spans="2:10" ht="20.25" customHeight="1"/>
    <row r="48" spans="2:10" ht="20.25" customHeight="1"/>
    <row r="49" spans="4:10" s="17" customFormat="1" ht="20.25" customHeight="1"/>
    <row r="50" spans="4:10" s="17" customFormat="1" ht="20.25" customHeight="1"/>
    <row r="51" spans="4:10" s="17" customFormat="1" ht="20.25" customHeight="1"/>
    <row r="52" spans="4:10" s="17" customFormat="1" ht="20.25" customHeight="1"/>
    <row r="53" spans="4:10" s="17" customFormat="1" ht="20.25" customHeight="1"/>
    <row r="54" spans="4:10" s="1" customFormat="1" ht="20.25" customHeight="1">
      <c r="D54" s="17"/>
      <c r="E54" s="17"/>
      <c r="F54" s="17"/>
      <c r="G54" s="17"/>
      <c r="H54" s="17"/>
      <c r="I54" s="17"/>
      <c r="J54" s="17"/>
    </row>
  </sheetData>
  <mergeCells count="53">
    <mergeCell ref="C1:J1"/>
    <mergeCell ref="B7:D7"/>
    <mergeCell ref="B9:G9"/>
    <mergeCell ref="B10:G10"/>
    <mergeCell ref="C12:D12"/>
    <mergeCell ref="I12:J12"/>
    <mergeCell ref="C13:D13"/>
    <mergeCell ref="I13:J13"/>
    <mergeCell ref="C14:D14"/>
    <mergeCell ref="I14:J14"/>
    <mergeCell ref="C20:D20"/>
    <mergeCell ref="I20:J20"/>
    <mergeCell ref="I18:J18"/>
    <mergeCell ref="C19:D19"/>
    <mergeCell ref="I19:J19"/>
    <mergeCell ref="C21:D21"/>
    <mergeCell ref="I21:J21"/>
    <mergeCell ref="C22:D22"/>
    <mergeCell ref="I22:J22"/>
    <mergeCell ref="C23:D23"/>
    <mergeCell ref="I23:J23"/>
    <mergeCell ref="C24:D24"/>
    <mergeCell ref="I24:J24"/>
    <mergeCell ref="B25:H25"/>
    <mergeCell ref="I25:J25"/>
    <mergeCell ref="B26:H26"/>
    <mergeCell ref="I26:J26"/>
    <mergeCell ref="C31:D31"/>
    <mergeCell ref="F31:F32"/>
    <mergeCell ref="G31:G32"/>
    <mergeCell ref="H31:H32"/>
    <mergeCell ref="I31:J32"/>
    <mergeCell ref="B27:H27"/>
    <mergeCell ref="I27:J27"/>
    <mergeCell ref="B28:J28"/>
    <mergeCell ref="B30:D30"/>
    <mergeCell ref="I30:J30"/>
    <mergeCell ref="C38:D38"/>
    <mergeCell ref="C39:D39"/>
    <mergeCell ref="C40:D40"/>
    <mergeCell ref="C15:D15"/>
    <mergeCell ref="I15:J15"/>
    <mergeCell ref="C16:D16"/>
    <mergeCell ref="I16:J16"/>
    <mergeCell ref="C17:D17"/>
    <mergeCell ref="I17:J17"/>
    <mergeCell ref="C18:D18"/>
    <mergeCell ref="C32:D32"/>
    <mergeCell ref="C33:D33"/>
    <mergeCell ref="C34:D34"/>
    <mergeCell ref="C35:D35"/>
    <mergeCell ref="C36:D36"/>
    <mergeCell ref="C37:D37"/>
  </mergeCells>
  <phoneticPr fontId="2"/>
  <pageMargins left="0.12" right="0.16" top="0.22" bottom="0.12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9C426-DB0F-4434-B7DD-DE9B26D5E2E1}">
  <sheetPr>
    <pageSetUpPr fitToPage="1"/>
  </sheetPr>
  <dimension ref="B1:J59"/>
  <sheetViews>
    <sheetView showGridLines="0" workbookViewId="0"/>
  </sheetViews>
  <sheetFormatPr defaultRowHeight="15"/>
  <cols>
    <col min="1" max="1" width="3.375" style="17" customWidth="1"/>
    <col min="2" max="2" width="4.625" style="1" customWidth="1"/>
    <col min="3" max="3" width="17.625" style="1" customWidth="1"/>
    <col min="4" max="4" width="11.25" style="17" customWidth="1"/>
    <col min="5" max="5" width="7.875" style="17" customWidth="1"/>
    <col min="6" max="6" width="11.625" style="17" customWidth="1"/>
    <col min="7" max="7" width="15.375" style="17" customWidth="1"/>
    <col min="8" max="8" width="15" style="17" customWidth="1"/>
    <col min="9" max="9" width="1" style="17" customWidth="1"/>
    <col min="10" max="10" width="15.125" style="17" customWidth="1"/>
    <col min="11" max="16384" width="9" style="17"/>
  </cols>
  <sheetData>
    <row r="1" spans="2:10" ht="54" customHeight="1">
      <c r="C1" s="63" t="s">
        <v>0</v>
      </c>
      <c r="D1" s="64"/>
      <c r="E1" s="64"/>
      <c r="F1" s="64"/>
      <c r="G1" s="64"/>
      <c r="H1" s="64"/>
      <c r="I1" s="64"/>
      <c r="J1" s="64"/>
    </row>
    <row r="2" spans="2:10" ht="21.75" customHeight="1">
      <c r="C2" s="36"/>
      <c r="D2" s="1"/>
      <c r="E2" s="1"/>
      <c r="F2" s="1"/>
      <c r="G2" s="1"/>
      <c r="H2" s="1"/>
      <c r="I2" s="1"/>
      <c r="J2" s="38" t="s">
        <v>23</v>
      </c>
    </row>
    <row r="3" spans="2:10" ht="21" customHeight="1" thickBot="1">
      <c r="C3" s="2"/>
      <c r="D3" s="3"/>
      <c r="E3" s="3"/>
      <c r="F3" s="3"/>
      <c r="G3" s="3"/>
      <c r="H3" s="3"/>
      <c r="I3" s="3"/>
      <c r="J3" s="37" t="s">
        <v>24</v>
      </c>
    </row>
    <row r="4" spans="2:10" ht="20.25">
      <c r="B4" s="26" t="s">
        <v>14</v>
      </c>
      <c r="C4" s="4"/>
      <c r="D4" s="4"/>
      <c r="E4" s="4"/>
      <c r="J4" s="31">
        <v>45660</v>
      </c>
    </row>
    <row r="5" spans="2:10" ht="18.75" customHeight="1">
      <c r="B5" s="35" t="s">
        <v>22</v>
      </c>
      <c r="C5" s="34" t="s">
        <v>21</v>
      </c>
      <c r="D5" s="34"/>
      <c r="E5" s="34"/>
      <c r="F5" s="34"/>
      <c r="G5" s="34"/>
      <c r="H5" s="34"/>
      <c r="I5" s="34"/>
      <c r="J5" s="34"/>
    </row>
    <row r="6" spans="2:10" ht="18.75" customHeight="1">
      <c r="B6" s="24" t="s">
        <v>11</v>
      </c>
      <c r="C6" s="25" t="s">
        <v>15</v>
      </c>
      <c r="D6" s="11"/>
      <c r="E6" s="11"/>
      <c r="F6" s="11"/>
      <c r="G6" s="11"/>
      <c r="H6" s="11"/>
      <c r="I6" s="11"/>
      <c r="J6" s="11"/>
    </row>
    <row r="7" spans="2:10" ht="18.75" customHeight="1">
      <c r="B7" s="65"/>
      <c r="C7" s="65"/>
      <c r="D7" s="65"/>
      <c r="E7" s="2"/>
      <c r="F7" s="5"/>
      <c r="G7" s="5"/>
      <c r="H7" s="5"/>
      <c r="I7" s="5"/>
    </row>
    <row r="8" spans="2:10" s="8" customFormat="1" ht="18" customHeight="1">
      <c r="B8" s="6"/>
      <c r="C8" s="6"/>
      <c r="D8" s="7"/>
      <c r="E8" s="7"/>
      <c r="F8" s="17"/>
      <c r="G8" s="17"/>
      <c r="H8" s="17"/>
      <c r="I8" s="6"/>
    </row>
    <row r="9" spans="2:10" s="8" customFormat="1" ht="18" customHeight="1">
      <c r="B9" s="66" t="s">
        <v>16</v>
      </c>
      <c r="C9" s="66"/>
      <c r="D9" s="66"/>
      <c r="E9" s="66"/>
      <c r="F9" s="66"/>
      <c r="G9" s="66"/>
      <c r="H9" s="17"/>
      <c r="I9" s="17"/>
    </row>
    <row r="10" spans="2:10" ht="18" customHeight="1">
      <c r="B10" s="67" t="s">
        <v>1</v>
      </c>
      <c r="C10" s="67"/>
      <c r="D10" s="67"/>
      <c r="E10" s="67"/>
      <c r="F10" s="67"/>
      <c r="G10" s="67"/>
    </row>
    <row r="11" spans="2:10" ht="18" customHeight="1" thickBot="1">
      <c r="D11" s="1"/>
      <c r="E11" s="1"/>
      <c r="F11" s="1"/>
      <c r="G11" s="18"/>
    </row>
    <row r="12" spans="2:10" ht="36" customHeight="1">
      <c r="B12" s="12" t="s">
        <v>2</v>
      </c>
      <c r="C12" s="68" t="s">
        <v>3</v>
      </c>
      <c r="D12" s="69"/>
      <c r="E12" s="13" t="s">
        <v>6</v>
      </c>
      <c r="F12" s="14" t="s">
        <v>7</v>
      </c>
      <c r="G12" s="14" t="s">
        <v>8</v>
      </c>
      <c r="H12" s="14" t="s">
        <v>4</v>
      </c>
      <c r="I12" s="68" t="s">
        <v>5</v>
      </c>
      <c r="J12" s="70"/>
    </row>
    <row r="13" spans="2:10" ht="16.5">
      <c r="B13" s="16">
        <v>1</v>
      </c>
      <c r="C13" s="49" t="s">
        <v>17</v>
      </c>
      <c r="D13" s="49"/>
      <c r="E13" s="9" t="s">
        <v>13</v>
      </c>
      <c r="F13" s="10">
        <v>500</v>
      </c>
      <c r="G13" s="23">
        <v>6600</v>
      </c>
      <c r="H13" s="19"/>
      <c r="I13" s="53">
        <f>IF(NOT(G13*F13=0), G13*F13, "")</f>
        <v>3300000</v>
      </c>
      <c r="J13" s="54"/>
    </row>
    <row r="14" spans="2:10" ht="21" customHeight="1">
      <c r="B14" s="16">
        <v>2</v>
      </c>
      <c r="C14" s="73"/>
      <c r="D14" s="74"/>
      <c r="E14" s="9"/>
      <c r="F14" s="10"/>
      <c r="G14" s="23"/>
      <c r="H14" s="19"/>
      <c r="I14" s="53" t="str">
        <f>IF(NOT(G14*F14=0), G14*F14, "")</f>
        <v/>
      </c>
      <c r="J14" s="54"/>
    </row>
    <row r="15" spans="2:10" ht="20.100000000000001" customHeight="1">
      <c r="B15" s="16">
        <v>3</v>
      </c>
      <c r="C15" s="71"/>
      <c r="D15" s="72"/>
      <c r="E15" s="9"/>
      <c r="F15" s="10"/>
      <c r="G15" s="22"/>
      <c r="H15" s="19"/>
      <c r="I15" s="53" t="str">
        <f t="shared" ref="I15:I21" si="0">IF(NOT(G15*F15=0), G15*F15, "")</f>
        <v/>
      </c>
      <c r="J15" s="54"/>
    </row>
    <row r="16" spans="2:10" ht="21" customHeight="1">
      <c r="B16" s="16">
        <v>4</v>
      </c>
      <c r="C16" s="49"/>
      <c r="D16" s="49"/>
      <c r="E16" s="9"/>
      <c r="F16" s="10"/>
      <c r="G16" s="23"/>
      <c r="H16" s="19"/>
      <c r="I16" s="53" t="str">
        <f>IF(NOT(G16*F16=0), G16*F16, "")</f>
        <v/>
      </c>
      <c r="J16" s="54"/>
    </row>
    <row r="17" spans="2:10" ht="20.100000000000001" customHeight="1">
      <c r="B17" s="16">
        <v>5</v>
      </c>
      <c r="C17" s="52"/>
      <c r="D17" s="52"/>
      <c r="E17" s="9"/>
      <c r="F17" s="10"/>
      <c r="G17" s="22"/>
      <c r="H17" s="19"/>
      <c r="I17" s="53" t="str">
        <f t="shared" ref="I17:I19" si="1">IF(NOT(G17*F17=0), G17*F17, "")</f>
        <v/>
      </c>
      <c r="J17" s="54"/>
    </row>
    <row r="18" spans="2:10" ht="20.100000000000001" customHeight="1">
      <c r="B18" s="16">
        <v>6</v>
      </c>
      <c r="C18" s="52"/>
      <c r="D18" s="52"/>
      <c r="E18" s="9"/>
      <c r="F18" s="10"/>
      <c r="G18" s="22"/>
      <c r="H18" s="19"/>
      <c r="I18" s="53" t="str">
        <f t="shared" si="1"/>
        <v/>
      </c>
      <c r="J18" s="54"/>
    </row>
    <row r="19" spans="2:10" ht="20.100000000000001" customHeight="1">
      <c r="B19" s="16">
        <v>7</v>
      </c>
      <c r="C19" s="52"/>
      <c r="D19" s="52"/>
      <c r="E19" s="9"/>
      <c r="F19" s="10"/>
      <c r="G19" s="22"/>
      <c r="H19" s="19"/>
      <c r="I19" s="53" t="str">
        <f t="shared" si="1"/>
        <v/>
      </c>
      <c r="J19" s="54"/>
    </row>
    <row r="20" spans="2:10" ht="20.100000000000001" customHeight="1">
      <c r="B20" s="16">
        <v>8</v>
      </c>
      <c r="C20" s="71"/>
      <c r="D20" s="72"/>
      <c r="E20" s="9"/>
      <c r="F20" s="10"/>
      <c r="G20" s="22"/>
      <c r="H20" s="19"/>
      <c r="I20" s="53" t="str">
        <f t="shared" si="0"/>
        <v/>
      </c>
      <c r="J20" s="54"/>
    </row>
    <row r="21" spans="2:10" ht="20.100000000000001" customHeight="1">
      <c r="B21" s="16">
        <v>9</v>
      </c>
      <c r="C21" s="71"/>
      <c r="D21" s="72"/>
      <c r="E21" s="9"/>
      <c r="F21" s="10"/>
      <c r="G21" s="22"/>
      <c r="H21" s="19"/>
      <c r="I21" s="53" t="str">
        <f t="shared" si="0"/>
        <v/>
      </c>
      <c r="J21" s="54"/>
    </row>
    <row r="22" spans="2:10" ht="21" customHeight="1">
      <c r="B22" s="16">
        <v>10</v>
      </c>
      <c r="C22" s="49"/>
      <c r="D22" s="49"/>
      <c r="E22" s="9"/>
      <c r="F22" s="10"/>
      <c r="G22" s="23"/>
      <c r="H22" s="19"/>
      <c r="I22" s="53" t="str">
        <f>IF(NOT(G22*F22=0), G22*F22, "")</f>
        <v/>
      </c>
      <c r="J22" s="54"/>
    </row>
    <row r="23" spans="2:10" ht="20.100000000000001" customHeight="1">
      <c r="B23" s="16">
        <v>11</v>
      </c>
      <c r="C23" s="52"/>
      <c r="D23" s="52"/>
      <c r="E23" s="9"/>
      <c r="F23" s="10"/>
      <c r="G23" s="22"/>
      <c r="H23" s="19"/>
      <c r="I23" s="53" t="str">
        <f t="shared" ref="I23:I29" si="2">IF(NOT(G23*F23=0), G23*F23, "")</f>
        <v/>
      </c>
      <c r="J23" s="54"/>
    </row>
    <row r="24" spans="2:10" ht="20.100000000000001" customHeight="1">
      <c r="B24" s="16">
        <v>12</v>
      </c>
      <c r="C24" s="52"/>
      <c r="D24" s="52"/>
      <c r="E24" s="9"/>
      <c r="F24" s="10"/>
      <c r="G24" s="22"/>
      <c r="H24" s="19"/>
      <c r="I24" s="53" t="str">
        <f t="shared" si="2"/>
        <v/>
      </c>
      <c r="J24" s="54"/>
    </row>
    <row r="25" spans="2:10" ht="20.100000000000001" customHeight="1">
      <c r="B25" s="16">
        <v>13</v>
      </c>
      <c r="C25" s="52"/>
      <c r="D25" s="52"/>
      <c r="E25" s="9"/>
      <c r="F25" s="10"/>
      <c r="G25" s="22"/>
      <c r="H25" s="19"/>
      <c r="I25" s="53" t="str">
        <f t="shared" ref="I25:I26" si="3">IF(NOT(G25*F25=0), G25*F25, "")</f>
        <v/>
      </c>
      <c r="J25" s="54"/>
    </row>
    <row r="26" spans="2:10" ht="20.100000000000001" customHeight="1">
      <c r="B26" s="16">
        <v>14</v>
      </c>
      <c r="C26" s="52"/>
      <c r="D26" s="52"/>
      <c r="E26" s="9"/>
      <c r="F26" s="10"/>
      <c r="G26" s="22"/>
      <c r="H26" s="19"/>
      <c r="I26" s="53" t="str">
        <f t="shared" si="3"/>
        <v/>
      </c>
      <c r="J26" s="54"/>
    </row>
    <row r="27" spans="2:10" ht="20.100000000000001" customHeight="1">
      <c r="B27" s="16">
        <v>15</v>
      </c>
      <c r="C27" s="52"/>
      <c r="D27" s="52"/>
      <c r="E27" s="9"/>
      <c r="F27" s="10"/>
      <c r="G27" s="22"/>
      <c r="H27" s="19"/>
      <c r="I27" s="53" t="str">
        <f t="shared" si="2"/>
        <v/>
      </c>
      <c r="J27" s="54"/>
    </row>
    <row r="28" spans="2:10" ht="20.100000000000001" customHeight="1">
      <c r="B28" s="16">
        <v>16</v>
      </c>
      <c r="C28" s="52"/>
      <c r="D28" s="52"/>
      <c r="E28" s="9"/>
      <c r="F28" s="10"/>
      <c r="G28" s="22"/>
      <c r="H28" s="19"/>
      <c r="I28" s="53" t="str">
        <f t="shared" si="2"/>
        <v/>
      </c>
      <c r="J28" s="54"/>
    </row>
    <row r="29" spans="2:10" ht="20.100000000000001" customHeight="1">
      <c r="B29" s="16">
        <v>17</v>
      </c>
      <c r="C29" s="52"/>
      <c r="D29" s="52"/>
      <c r="E29" s="9"/>
      <c r="F29" s="10"/>
      <c r="G29" s="22"/>
      <c r="H29" s="19"/>
      <c r="I29" s="53" t="str">
        <f t="shared" si="2"/>
        <v/>
      </c>
      <c r="J29" s="54"/>
    </row>
    <row r="30" spans="2:10" ht="30" customHeight="1">
      <c r="B30" s="55" t="s">
        <v>9</v>
      </c>
      <c r="C30" s="56"/>
      <c r="D30" s="56"/>
      <c r="E30" s="56"/>
      <c r="F30" s="56"/>
      <c r="G30" s="56"/>
      <c r="H30" s="57"/>
      <c r="I30" s="58">
        <f>SUM(I13:J29)</f>
        <v>3300000</v>
      </c>
      <c r="J30" s="59"/>
    </row>
    <row r="31" spans="2:10" ht="30" customHeight="1">
      <c r="B31" s="60" t="s">
        <v>12</v>
      </c>
      <c r="C31" s="56"/>
      <c r="D31" s="56"/>
      <c r="E31" s="56"/>
      <c r="F31" s="56"/>
      <c r="G31" s="56"/>
      <c r="H31" s="57"/>
      <c r="I31" s="61"/>
      <c r="J31" s="62"/>
    </row>
    <row r="32" spans="2:10" ht="30" customHeight="1" thickBot="1">
      <c r="B32" s="41" t="s">
        <v>10</v>
      </c>
      <c r="C32" s="42"/>
      <c r="D32" s="42"/>
      <c r="E32" s="42"/>
      <c r="F32" s="42"/>
      <c r="G32" s="42"/>
      <c r="H32" s="43"/>
      <c r="I32" s="44">
        <f>I30+I31</f>
        <v>3300000</v>
      </c>
      <c r="J32" s="45"/>
    </row>
    <row r="33" spans="2:10" ht="44.25" customHeight="1" thickBot="1">
      <c r="B33" s="75"/>
      <c r="C33" s="76"/>
      <c r="D33" s="76"/>
      <c r="E33" s="76"/>
      <c r="F33" s="76"/>
      <c r="G33" s="76"/>
      <c r="H33" s="76"/>
      <c r="I33" s="76"/>
      <c r="J33" s="77"/>
    </row>
    <row r="34" spans="2:10" ht="17.25" customHeight="1">
      <c r="D34" s="1"/>
      <c r="E34" s="1"/>
      <c r="F34" s="1"/>
      <c r="G34" s="1"/>
    </row>
    <row r="35" spans="2:10" ht="48" customHeight="1">
      <c r="B35" s="46"/>
      <c r="C35" s="46"/>
      <c r="D35" s="46"/>
      <c r="E35" s="29"/>
      <c r="F35" s="32"/>
      <c r="G35" s="33" t="s">
        <v>18</v>
      </c>
      <c r="H35" s="33" t="s">
        <v>19</v>
      </c>
      <c r="I35" s="50" t="s">
        <v>20</v>
      </c>
      <c r="J35" s="50"/>
    </row>
    <row r="36" spans="2:10" ht="36.75" customHeight="1">
      <c r="B36" s="30"/>
      <c r="C36" s="47"/>
      <c r="D36" s="48"/>
      <c r="E36" s="30"/>
      <c r="F36" s="47"/>
      <c r="G36" s="49"/>
      <c r="H36" s="49"/>
      <c r="I36" s="51"/>
      <c r="J36" s="51"/>
    </row>
    <row r="37" spans="2:10" ht="30" customHeight="1">
      <c r="B37" s="28"/>
      <c r="C37" s="39"/>
      <c r="D37" s="39"/>
      <c r="E37" s="27"/>
      <c r="F37" s="47"/>
      <c r="G37" s="49"/>
      <c r="H37" s="49"/>
      <c r="I37" s="51"/>
      <c r="J37" s="51"/>
    </row>
    <row r="38" spans="2:10" ht="30" customHeight="1">
      <c r="B38" s="6"/>
      <c r="C38" s="39"/>
      <c r="D38" s="39"/>
      <c r="E38" s="27"/>
      <c r="F38" s="20"/>
      <c r="G38" s="20"/>
      <c r="H38" s="6"/>
      <c r="I38" s="6"/>
      <c r="J38" s="8"/>
    </row>
    <row r="39" spans="2:10" ht="30" customHeight="1">
      <c r="B39" s="6"/>
      <c r="C39" s="39"/>
      <c r="D39" s="39"/>
      <c r="E39" s="27"/>
      <c r="F39" s="20"/>
      <c r="G39" s="20"/>
      <c r="H39" s="6"/>
      <c r="I39" s="6"/>
      <c r="J39" s="8"/>
    </row>
    <row r="40" spans="2:10" ht="30" customHeight="1">
      <c r="B40" s="6"/>
      <c r="C40" s="39"/>
      <c r="D40" s="39"/>
      <c r="E40" s="27"/>
      <c r="F40" s="20"/>
      <c r="G40" s="20"/>
      <c r="H40" s="6"/>
      <c r="I40" s="6"/>
      <c r="J40" s="8"/>
    </row>
    <row r="41" spans="2:10" ht="30" customHeight="1">
      <c r="B41" s="6"/>
      <c r="C41" s="39"/>
      <c r="D41" s="39"/>
      <c r="E41" s="27"/>
      <c r="F41" s="20"/>
      <c r="G41" s="20"/>
      <c r="H41" s="6"/>
      <c r="I41" s="6"/>
      <c r="J41" s="8"/>
    </row>
    <row r="42" spans="2:10" ht="30" customHeight="1">
      <c r="B42" s="6"/>
      <c r="C42" s="39"/>
      <c r="D42" s="39"/>
      <c r="E42" s="27"/>
      <c r="F42" s="21"/>
      <c r="G42" s="21"/>
      <c r="H42" s="8"/>
      <c r="I42" s="8"/>
      <c r="J42" s="8"/>
    </row>
    <row r="43" spans="2:10" ht="30" customHeight="1">
      <c r="B43" s="6"/>
      <c r="C43" s="40"/>
      <c r="D43" s="40"/>
      <c r="E43" s="28"/>
      <c r="F43" s="21"/>
      <c r="G43" s="21"/>
      <c r="H43" s="8"/>
      <c r="I43" s="8"/>
      <c r="J43" s="8"/>
    </row>
    <row r="44" spans="2:10" ht="30" customHeight="1">
      <c r="B44" s="6"/>
      <c r="C44" s="40"/>
      <c r="D44" s="40"/>
      <c r="E44" s="28"/>
      <c r="F44" s="21"/>
      <c r="G44" s="21"/>
      <c r="H44" s="8"/>
      <c r="I44" s="8"/>
      <c r="J44" s="8"/>
    </row>
    <row r="45" spans="2:10" ht="30" customHeight="1">
      <c r="B45" s="6"/>
      <c r="C45" s="40"/>
      <c r="D45" s="40"/>
      <c r="E45" s="28"/>
      <c r="F45" s="21"/>
      <c r="G45" s="21"/>
      <c r="H45" s="8"/>
      <c r="I45" s="8"/>
      <c r="J45" s="8"/>
    </row>
    <row r="46" spans="2:10" ht="20.25" customHeight="1"/>
    <row r="47" spans="2:10" ht="20.25" customHeight="1"/>
    <row r="48" spans="2:10" ht="20.25" customHeight="1"/>
    <row r="49" spans="4:10" ht="20.25" customHeight="1"/>
    <row r="50" spans="4:10" ht="20.25" customHeight="1"/>
    <row r="51" spans="4:10" ht="20.25" customHeight="1"/>
    <row r="52" spans="4:10" ht="20.25" customHeight="1"/>
    <row r="53" spans="4:10" ht="20.25" customHeight="1"/>
    <row r="54" spans="4:10" ht="20.25" customHeight="1"/>
    <row r="55" spans="4:10" ht="20.25" customHeight="1"/>
    <row r="56" spans="4:10" ht="20.25" customHeight="1"/>
    <row r="57" spans="4:10" ht="20.25" customHeight="1"/>
    <row r="58" spans="4:10" ht="20.25" customHeight="1"/>
    <row r="59" spans="4:10" s="1" customFormat="1" ht="20.25" customHeight="1">
      <c r="D59" s="17"/>
      <c r="E59" s="17"/>
      <c r="F59" s="17"/>
      <c r="G59" s="17"/>
      <c r="H59" s="17"/>
      <c r="I59" s="17"/>
      <c r="J59" s="17"/>
    </row>
  </sheetData>
  <mergeCells count="63">
    <mergeCell ref="C1:J1"/>
    <mergeCell ref="B7:D7"/>
    <mergeCell ref="B9:G9"/>
    <mergeCell ref="B10:G10"/>
    <mergeCell ref="C12:D12"/>
    <mergeCell ref="I12:J12"/>
    <mergeCell ref="C13:D13"/>
    <mergeCell ref="I13:J13"/>
    <mergeCell ref="C22:D22"/>
    <mergeCell ref="I22:J22"/>
    <mergeCell ref="C23:D23"/>
    <mergeCell ref="I23:J23"/>
    <mergeCell ref="I21:J21"/>
    <mergeCell ref="C21:D21"/>
    <mergeCell ref="I20:J20"/>
    <mergeCell ref="C20:D20"/>
    <mergeCell ref="C24:D24"/>
    <mergeCell ref="I24:J24"/>
    <mergeCell ref="C27:D27"/>
    <mergeCell ref="I27:J27"/>
    <mergeCell ref="C28:D28"/>
    <mergeCell ref="I28:J28"/>
    <mergeCell ref="C25:D25"/>
    <mergeCell ref="I25:J25"/>
    <mergeCell ref="C26:D26"/>
    <mergeCell ref="I26:J26"/>
    <mergeCell ref="C29:D29"/>
    <mergeCell ref="I29:J29"/>
    <mergeCell ref="B30:H30"/>
    <mergeCell ref="I30:J30"/>
    <mergeCell ref="B31:H31"/>
    <mergeCell ref="I31:J31"/>
    <mergeCell ref="C36:D36"/>
    <mergeCell ref="F36:F37"/>
    <mergeCell ref="G36:G37"/>
    <mergeCell ref="H36:H37"/>
    <mergeCell ref="I36:J37"/>
    <mergeCell ref="B32:H32"/>
    <mergeCell ref="I32:J32"/>
    <mergeCell ref="B33:J33"/>
    <mergeCell ref="B35:D35"/>
    <mergeCell ref="I35:J35"/>
    <mergeCell ref="C43:D43"/>
    <mergeCell ref="C44:D44"/>
    <mergeCell ref="C45:D45"/>
    <mergeCell ref="C37:D37"/>
    <mergeCell ref="C38:D38"/>
    <mergeCell ref="C39:D39"/>
    <mergeCell ref="C40:D40"/>
    <mergeCell ref="C41:D41"/>
    <mergeCell ref="C42:D42"/>
    <mergeCell ref="I15:J15"/>
    <mergeCell ref="C15:D15"/>
    <mergeCell ref="I14:J14"/>
    <mergeCell ref="C14:D14"/>
    <mergeCell ref="C16:D16"/>
    <mergeCell ref="I16:J16"/>
    <mergeCell ref="C17:D17"/>
    <mergeCell ref="I17:J17"/>
    <mergeCell ref="C18:D18"/>
    <mergeCell ref="I18:J18"/>
    <mergeCell ref="C19:D19"/>
    <mergeCell ref="I19:J19"/>
  </mergeCells>
  <phoneticPr fontId="2"/>
  <pageMargins left="0.12" right="0.16" top="0.22" bottom="0.12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Duc Phong</vt:lpstr>
      <vt:lpstr>Duc Phong-12</vt:lpstr>
      <vt:lpstr>Duc Phong-17</vt:lpstr>
      <vt:lpstr>'Duc Phong'!Print_Area</vt:lpstr>
      <vt:lpstr>'Duc Phong-12'!Print_Area</vt:lpstr>
      <vt:lpstr>'Duc Phong-17'!Print_Area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utsunomiya</dc:creator>
  <cp:lastModifiedBy>元輝 浅井</cp:lastModifiedBy>
  <cp:lastPrinted>2026-02-05T04:03:15Z</cp:lastPrinted>
  <dcterms:created xsi:type="dcterms:W3CDTF">2006-12-27T01:09:58Z</dcterms:created>
  <dcterms:modified xsi:type="dcterms:W3CDTF">2026-02-17T23:03:32Z</dcterms:modified>
</cp:coreProperties>
</file>