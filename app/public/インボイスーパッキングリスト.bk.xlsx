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\masuda-vinyl-ops\"/>
    </mc:Choice>
  </mc:AlternateContent>
  <xr:revisionPtr revIDLastSave="0" documentId="13_ncr:1_{25E72BBD-7BE0-4BEE-A792-CFAEB572ABB9}" xr6:coauthVersionLast="47" xr6:coauthVersionMax="47" xr10:uidLastSave="{00000000-0000-0000-0000-000000000000}"/>
  <bookViews>
    <workbookView xWindow="-29250" yWindow="-16425" windowWidth="14610" windowHeight="15585" tabRatio="522" xr2:uid="{00000000-000D-0000-FFFF-FFFF00000000}"/>
  </bookViews>
  <sheets>
    <sheet name="INVOICE" sheetId="1" r:id="rId1"/>
    <sheet name="PACKING LIST" sheetId="2" r:id="rId2"/>
    <sheet name="IV tổng" sheetId="10" state="hidden" r:id="rId3"/>
    <sheet name="PL tổng" sheetId="11" state="hidden" r:id="rId4"/>
    <sheet name="IV tong" sheetId="9" state="hidden" r:id="rId5"/>
    <sheet name="Dia chi" sheetId="6" state="hidden" r:id="rId6"/>
    <sheet name="Sheet1" sheetId="8" state="hidden" r:id="rId7"/>
    <sheet name="Sheet2" sheetId="12" state="hidden" r:id="rId8"/>
    <sheet name="データ" sheetId="5" state="hidden" r:id="rId9"/>
    <sheet name="quy cách palet" sheetId="7" state="hidden" r:id="rId10"/>
  </sheets>
  <definedNames>
    <definedName name="_xlnm._FilterDatabase" localSheetId="2" hidden="1">'IV tổng'!$B$33:$C$45</definedName>
    <definedName name="_xlnm.Print_Area" localSheetId="0">INVOICE!$A$1:$K$55</definedName>
    <definedName name="_xlnm.Print_Area" localSheetId="2">'IV tổng'!$A$1:$K$57</definedName>
    <definedName name="_xlnm.Print_Area" localSheetId="1">'PACKING LIST'!$A$1:$M$63</definedName>
    <definedName name="_xlnm.Print_Area" localSheetId="8">データ!$A$1:$N$53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2" l="1"/>
  <c r="L51" i="2" l="1"/>
  <c r="L46" i="2"/>
  <c r="L50" i="2"/>
  <c r="H45" i="2"/>
  <c r="J45" i="2" s="1"/>
  <c r="H46" i="2"/>
  <c r="H49" i="2"/>
  <c r="H39" i="2"/>
  <c r="J39" i="2" s="1"/>
  <c r="G50" i="2"/>
  <c r="G51" i="2"/>
  <c r="G44" i="2"/>
  <c r="G45" i="2"/>
  <c r="L45" i="2" s="1"/>
  <c r="G46" i="2"/>
  <c r="G47" i="2"/>
  <c r="J47" i="2" s="1"/>
  <c r="G48" i="2"/>
  <c r="J48" i="2" s="1"/>
  <c r="G49" i="2"/>
  <c r="G36" i="2"/>
  <c r="J36" i="2" s="1"/>
  <c r="G37" i="2"/>
  <c r="G38" i="2"/>
  <c r="G39" i="2"/>
  <c r="G40" i="2"/>
  <c r="G41" i="2"/>
  <c r="G42" i="2"/>
  <c r="J42" i="2" s="1"/>
  <c r="G43" i="2"/>
  <c r="E51" i="2"/>
  <c r="E47" i="2"/>
  <c r="E48" i="2"/>
  <c r="E49" i="2"/>
  <c r="E50" i="2"/>
  <c r="E43" i="2"/>
  <c r="E44" i="2"/>
  <c r="E45" i="2"/>
  <c r="E46" i="2"/>
  <c r="E36" i="2"/>
  <c r="E37" i="2"/>
  <c r="E38" i="2"/>
  <c r="E39" i="2"/>
  <c r="E40" i="2"/>
  <c r="E41" i="2"/>
  <c r="E42" i="2"/>
  <c r="B48" i="2"/>
  <c r="L48" i="2" s="1"/>
  <c r="M48" i="2" s="1"/>
  <c r="B49" i="2"/>
  <c r="B50" i="2"/>
  <c r="H50" i="2" s="1"/>
  <c r="J50" i="2" s="1"/>
  <c r="B51" i="2"/>
  <c r="H51" i="2" s="1"/>
  <c r="J51" i="2" s="1"/>
  <c r="B45" i="2"/>
  <c r="B46" i="2"/>
  <c r="B47" i="2"/>
  <c r="B44" i="2"/>
  <c r="B36" i="2"/>
  <c r="H36" i="2" s="1"/>
  <c r="B37" i="2"/>
  <c r="H37" i="2" s="1"/>
  <c r="B38" i="2"/>
  <c r="H38" i="2" s="1"/>
  <c r="B39" i="2"/>
  <c r="B40" i="2"/>
  <c r="H40" i="2" s="1"/>
  <c r="B41" i="2"/>
  <c r="H41" i="2" s="1"/>
  <c r="B42" i="2"/>
  <c r="H42" i="2" s="1"/>
  <c r="B43" i="2"/>
  <c r="H47" i="1"/>
  <c r="J47" i="1" s="1"/>
  <c r="F47" i="1"/>
  <c r="F49" i="2" s="1"/>
  <c r="F48" i="1"/>
  <c r="F50" i="2" s="1"/>
  <c r="D47" i="1"/>
  <c r="D49" i="2" s="1"/>
  <c r="D48" i="1"/>
  <c r="D50" i="2" s="1"/>
  <c r="D49" i="1"/>
  <c r="D51" i="2" s="1"/>
  <c r="J41" i="2" l="1"/>
  <c r="J38" i="2"/>
  <c r="J40" i="2"/>
  <c r="L49" i="2"/>
  <c r="M45" i="2"/>
  <c r="J46" i="2"/>
  <c r="J49" i="2"/>
  <c r="M51" i="2"/>
  <c r="J37" i="2"/>
  <c r="M50" i="2"/>
  <c r="L47" i="2"/>
  <c r="M47" i="2" s="1"/>
  <c r="M46" i="2" l="1"/>
  <c r="M49" i="2"/>
  <c r="H48" i="1"/>
  <c r="J48" i="1" s="1"/>
  <c r="H49" i="1"/>
  <c r="J49" i="1" s="1"/>
  <c r="H45" i="1"/>
  <c r="J45" i="1" s="1"/>
  <c r="H46" i="1"/>
  <c r="J46" i="1" s="1"/>
  <c r="H43" i="1"/>
  <c r="J43" i="1" s="1"/>
  <c r="H44" i="1"/>
  <c r="J44" i="1" s="1"/>
  <c r="H42" i="1"/>
  <c r="J42" i="1" s="1"/>
  <c r="H41" i="1"/>
  <c r="J41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F41" i="1"/>
  <c r="F43" i="2" s="1"/>
  <c r="F42" i="1"/>
  <c r="F44" i="2" s="1"/>
  <c r="F43" i="1"/>
  <c r="F45" i="2" s="1"/>
  <c r="F44" i="1"/>
  <c r="F46" i="2" s="1"/>
  <c r="F45" i="1"/>
  <c r="F47" i="2" s="1"/>
  <c r="F46" i="1"/>
  <c r="F48" i="2" s="1"/>
  <c r="F49" i="1"/>
  <c r="F51" i="2" s="1"/>
  <c r="F34" i="1"/>
  <c r="F36" i="2" s="1"/>
  <c r="F35" i="1"/>
  <c r="F37" i="2" s="1"/>
  <c r="F36" i="1"/>
  <c r="F38" i="2" s="1"/>
  <c r="F37" i="1"/>
  <c r="F39" i="2" s="1"/>
  <c r="F38" i="1"/>
  <c r="F40" i="2" s="1"/>
  <c r="F39" i="1"/>
  <c r="F41" i="2" s="1"/>
  <c r="D44" i="1"/>
  <c r="D46" i="2" s="1"/>
  <c r="D45" i="1"/>
  <c r="D47" i="2" s="1"/>
  <c r="D46" i="1"/>
  <c r="D48" i="2" s="1"/>
  <c r="D41" i="1"/>
  <c r="D43" i="2" s="1"/>
  <c r="D42" i="1"/>
  <c r="D44" i="2" s="1"/>
  <c r="D43" i="1"/>
  <c r="D45" i="2" s="1"/>
  <c r="D34" i="1"/>
  <c r="D36" i="2" s="1"/>
  <c r="D35" i="1"/>
  <c r="D37" i="2" s="1"/>
  <c r="D36" i="1"/>
  <c r="D38" i="2" s="1"/>
  <c r="D37" i="1"/>
  <c r="D39" i="2" s="1"/>
  <c r="D38" i="1"/>
  <c r="D40" i="2" s="1"/>
  <c r="D39" i="1"/>
  <c r="D41" i="2" s="1"/>
  <c r="D40" i="1"/>
  <c r="D42" i="2" s="1"/>
  <c r="D33" i="1"/>
  <c r="D35" i="2" s="1"/>
  <c r="K53" i="2" l="1"/>
  <c r="H43" i="2" l="1"/>
  <c r="J43" i="2" s="1"/>
  <c r="H44" i="2"/>
  <c r="J44" i="2" s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l="1"/>
  <c r="A48" i="1" s="1"/>
  <c r="A49" i="1" s="1"/>
  <c r="A50" i="1" s="1"/>
  <c r="E35" i="2"/>
  <c r="F40" i="1" l="1"/>
  <c r="F42" i="2" s="1"/>
  <c r="H33" i="1"/>
  <c r="L42" i="2" l="1"/>
  <c r="M42" i="2" s="1"/>
  <c r="G35" i="2" l="1"/>
  <c r="G53" i="2" s="1"/>
  <c r="B35" i="2"/>
  <c r="H35" i="2" s="1"/>
  <c r="J35" i="2" s="1"/>
  <c r="J53" i="2" s="1"/>
  <c r="J33" i="1"/>
  <c r="J51" i="1" s="1"/>
  <c r="F33" i="1"/>
  <c r="F35" i="2" s="1"/>
  <c r="L38" i="2" l="1"/>
  <c r="M38" i="2" s="1"/>
  <c r="L37" i="2"/>
  <c r="M37" i="2" s="1"/>
  <c r="L43" i="2" l="1"/>
  <c r="M43" i="2" s="1"/>
  <c r="L44" i="2" l="1"/>
  <c r="M44" i="2" s="1"/>
  <c r="L41" i="2"/>
  <c r="M41" i="2" s="1"/>
  <c r="L40" i="2"/>
  <c r="M40" i="2" s="1"/>
  <c r="D56" i="2" l="1"/>
  <c r="L36" i="2" l="1"/>
  <c r="M36" i="2" s="1"/>
  <c r="L35" i="2"/>
  <c r="L39" i="2"/>
  <c r="M39" i="2" s="1"/>
  <c r="L53" i="2" l="1"/>
  <c r="M35" i="2"/>
  <c r="M53" i="2"/>
  <c r="G21" i="5"/>
  <c r="I21" i="5" s="1"/>
  <c r="G16" i="5" l="1"/>
  <c r="H21" i="5"/>
  <c r="K21" i="5" s="1"/>
  <c r="L21" i="5" s="1"/>
  <c r="I16" i="5" l="1"/>
  <c r="H16" i="5"/>
  <c r="K16" i="5" s="1"/>
  <c r="D57" i="2"/>
  <c r="G40" i="5"/>
  <c r="J40" i="5" s="1"/>
  <c r="G41" i="5"/>
  <c r="H41" i="5" s="1"/>
  <c r="G42" i="5"/>
  <c r="H42" i="5" s="1"/>
  <c r="G43" i="5"/>
  <c r="H43" i="5" s="1"/>
  <c r="G44" i="5"/>
  <c r="J44" i="5" s="1"/>
  <c r="G45" i="5"/>
  <c r="H45" i="5" s="1"/>
  <c r="G46" i="5"/>
  <c r="I46" i="5" s="1"/>
  <c r="G47" i="5"/>
  <c r="H47" i="5" s="1"/>
  <c r="H48" i="5"/>
  <c r="K48" i="5" s="1"/>
  <c r="I48" i="5"/>
  <c r="J48" i="5"/>
  <c r="L16" i="5" l="1"/>
  <c r="L48" i="5"/>
  <c r="M48" i="5" s="1"/>
  <c r="H40" i="5"/>
  <c r="L40" i="5" s="1"/>
  <c r="I44" i="5"/>
  <c r="J42" i="5"/>
  <c r="I42" i="5"/>
  <c r="J46" i="5"/>
  <c r="I40" i="5"/>
  <c r="J41" i="5"/>
  <c r="H44" i="5"/>
  <c r="J45" i="5"/>
  <c r="I45" i="5"/>
  <c r="I41" i="5"/>
  <c r="L42" i="5"/>
  <c r="K42" i="5"/>
  <c r="L41" i="5"/>
  <c r="K41" i="5"/>
  <c r="K45" i="5"/>
  <c r="L45" i="5"/>
  <c r="H46" i="5"/>
  <c r="K47" i="5"/>
  <c r="L47" i="5"/>
  <c r="L43" i="5"/>
  <c r="K43" i="5"/>
  <c r="J47" i="5"/>
  <c r="J43" i="5"/>
  <c r="I47" i="5"/>
  <c r="I43" i="5"/>
  <c r="K40" i="5" l="1"/>
  <c r="M40" i="5" s="1"/>
  <c r="M45" i="5"/>
  <c r="M42" i="5"/>
  <c r="L44" i="5"/>
  <c r="K44" i="5"/>
  <c r="L46" i="5"/>
  <c r="K46" i="5"/>
  <c r="M41" i="5"/>
  <c r="M43" i="5"/>
  <c r="M47" i="5"/>
  <c r="G25" i="5"/>
  <c r="H25" i="5" s="1"/>
  <c r="K25" i="5" s="1"/>
  <c r="G23" i="5"/>
  <c r="I23" i="5" s="1"/>
  <c r="I5" i="2"/>
  <c r="M44" i="5" l="1"/>
  <c r="M46" i="5"/>
  <c r="H23" i="5"/>
  <c r="K23" i="5" s="1"/>
  <c r="L23" i="5" s="1"/>
  <c r="I25" i="5"/>
  <c r="L25" i="5" s="1"/>
  <c r="G5" i="5" l="1"/>
  <c r="A36" i="2" l="1"/>
  <c r="A37" i="2" s="1"/>
  <c r="A38" i="2" l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G15" i="5"/>
  <c r="I15" i="5" s="1"/>
  <c r="H15" i="5" l="1"/>
  <c r="K15" i="5" s="1"/>
  <c r="L15" i="5" s="1"/>
  <c r="G4" i="5" l="1"/>
  <c r="I4" i="5" s="1"/>
  <c r="H4" i="5" l="1"/>
  <c r="K4" i="5" s="1"/>
  <c r="L4" i="5" s="1"/>
  <c r="K48" i="11" l="1"/>
  <c r="G36" i="11"/>
  <c r="G37" i="11"/>
  <c r="G38" i="11"/>
  <c r="G39" i="11"/>
  <c r="G40" i="11"/>
  <c r="G41" i="11"/>
  <c r="G42" i="11"/>
  <c r="G43" i="11"/>
  <c r="G44" i="11"/>
  <c r="G45" i="11"/>
  <c r="G46" i="11"/>
  <c r="G47" i="11"/>
  <c r="B44" i="11"/>
  <c r="H44" i="11" s="1"/>
  <c r="B45" i="11"/>
  <c r="H45" i="11" s="1"/>
  <c r="B46" i="11"/>
  <c r="O46" i="11" s="1"/>
  <c r="B47" i="11"/>
  <c r="O47" i="11" s="1"/>
  <c r="B36" i="11"/>
  <c r="B37" i="11"/>
  <c r="H37" i="11" s="1"/>
  <c r="B38" i="11"/>
  <c r="H38" i="11" s="1"/>
  <c r="B39" i="11"/>
  <c r="H39" i="11" s="1"/>
  <c r="B40" i="11"/>
  <c r="H40" i="11" s="1"/>
  <c r="B41" i="11"/>
  <c r="H41" i="11" s="1"/>
  <c r="B42" i="11"/>
  <c r="H42" i="11" s="1"/>
  <c r="J42" i="11" s="1"/>
  <c r="B43" i="11"/>
  <c r="H43" i="11" s="1"/>
  <c r="B35" i="11"/>
  <c r="H44" i="10"/>
  <c r="H45" i="10"/>
  <c r="F44" i="10"/>
  <c r="F46" i="11" s="1"/>
  <c r="F45" i="10"/>
  <c r="F47" i="11" s="1"/>
  <c r="D44" i="10"/>
  <c r="D46" i="11" s="1"/>
  <c r="D45" i="10"/>
  <c r="D47" i="11" s="1"/>
  <c r="D34" i="10"/>
  <c r="D36" i="11" s="1"/>
  <c r="F34" i="10"/>
  <c r="F36" i="11" s="1"/>
  <c r="H34" i="10"/>
  <c r="J34" i="10" s="1"/>
  <c r="H37" i="10"/>
  <c r="H36" i="10"/>
  <c r="H35" i="10"/>
  <c r="H7" i="10"/>
  <c r="H5" i="10"/>
  <c r="H36" i="11" l="1"/>
  <c r="J36" i="11" s="1"/>
  <c r="J48" i="11" s="1"/>
  <c r="H46" i="11"/>
  <c r="H47" i="11"/>
  <c r="J45" i="10"/>
  <c r="L46" i="11"/>
  <c r="J44" i="10"/>
  <c r="F43" i="10"/>
  <c r="F45" i="11" s="1"/>
  <c r="G35" i="11" l="1"/>
  <c r="G48" i="11" s="1"/>
  <c r="O45" i="11"/>
  <c r="O40" i="11"/>
  <c r="O42" i="11"/>
  <c r="H43" i="10"/>
  <c r="J43" i="10" s="1"/>
  <c r="D43" i="10"/>
  <c r="D45" i="11" s="1"/>
  <c r="H41" i="10"/>
  <c r="J41" i="10" s="1"/>
  <c r="F41" i="10"/>
  <c r="F43" i="11" s="1"/>
  <c r="D41" i="10"/>
  <c r="D43" i="11" s="1"/>
  <c r="H39" i="10"/>
  <c r="J39" i="10" s="1"/>
  <c r="F39" i="10"/>
  <c r="F41" i="11" s="1"/>
  <c r="D39" i="10"/>
  <c r="D41" i="11" s="1"/>
  <c r="E53" i="11"/>
  <c r="L42" i="11" l="1"/>
  <c r="O39" i="11"/>
  <c r="L39" i="11" s="1"/>
  <c r="P39" i="11"/>
  <c r="L45" i="11"/>
  <c r="P40" i="11"/>
  <c r="P46" i="11"/>
  <c r="L40" i="11"/>
  <c r="P36" i="11"/>
  <c r="P44" i="11"/>
  <c r="L47" i="11"/>
  <c r="M47" i="11" s="1"/>
  <c r="O44" i="11"/>
  <c r="L44" i="11" s="1"/>
  <c r="P37" i="11"/>
  <c r="P47" i="11"/>
  <c r="M44" i="11" l="1"/>
  <c r="M40" i="11"/>
  <c r="M46" i="11"/>
  <c r="P45" i="11"/>
  <c r="M45" i="11"/>
  <c r="P42" i="11"/>
  <c r="M42" i="11"/>
  <c r="M39" i="11"/>
  <c r="H33" i="10"/>
  <c r="O37" i="11"/>
  <c r="O38" i="11"/>
  <c r="A50" i="11"/>
  <c r="N48" i="11"/>
  <c r="A36" i="11"/>
  <c r="A37" i="11" s="1"/>
  <c r="A38" i="11" s="1"/>
  <c r="A39" i="11" s="1"/>
  <c r="A40" i="11" s="1"/>
  <c r="D31" i="11"/>
  <c r="A31" i="11"/>
  <c r="A29" i="11"/>
  <c r="A22" i="11"/>
  <c r="A21" i="11"/>
  <c r="I15" i="11"/>
  <c r="A41" i="11" l="1"/>
  <c r="A42" i="11" s="1"/>
  <c r="A43" i="11" s="1"/>
  <c r="A44" i="11" s="1"/>
  <c r="P43" i="11"/>
  <c r="O43" i="11"/>
  <c r="L43" i="11" s="1"/>
  <c r="O41" i="11"/>
  <c r="L41" i="11" s="1"/>
  <c r="P41" i="11"/>
  <c r="O36" i="11"/>
  <c r="L36" i="11" s="1"/>
  <c r="M36" i="11" s="1"/>
  <c r="O35" i="11"/>
  <c r="L35" i="11" s="1"/>
  <c r="H35" i="11"/>
  <c r="L38" i="11"/>
  <c r="P38" i="11"/>
  <c r="D51" i="11"/>
  <c r="L37" i="11"/>
  <c r="M37" i="11" s="1"/>
  <c r="L48" i="11" l="1"/>
  <c r="M35" i="11"/>
  <c r="A45" i="11"/>
  <c r="A46" i="11" s="1"/>
  <c r="A47" i="11" s="1"/>
  <c r="M41" i="11"/>
  <c r="M38" i="11"/>
  <c r="M43" i="11"/>
  <c r="P35" i="11"/>
  <c r="H42" i="10"/>
  <c r="J42" i="10" s="1"/>
  <c r="F42" i="10"/>
  <c r="F44" i="11" s="1"/>
  <c r="D42" i="10"/>
  <c r="D44" i="11" s="1"/>
  <c r="H40" i="10"/>
  <c r="J40" i="10" s="1"/>
  <c r="F40" i="10"/>
  <c r="F42" i="11" s="1"/>
  <c r="D40" i="10"/>
  <c r="D42" i="11" s="1"/>
  <c r="H38" i="10"/>
  <c r="J38" i="10" s="1"/>
  <c r="F38" i="10"/>
  <c r="F40" i="11" s="1"/>
  <c r="D38" i="10"/>
  <c r="D40" i="11" s="1"/>
  <c r="J37" i="10"/>
  <c r="F37" i="10"/>
  <c r="F39" i="11" s="1"/>
  <c r="D37" i="10"/>
  <c r="D39" i="11" s="1"/>
  <c r="J36" i="10"/>
  <c r="F36" i="10"/>
  <c r="F38" i="11" s="1"/>
  <c r="D36" i="10"/>
  <c r="D38" i="11" s="1"/>
  <c r="J35" i="10"/>
  <c r="F35" i="10"/>
  <c r="F37" i="11" s="1"/>
  <c r="D35" i="10"/>
  <c r="D37" i="11" s="1"/>
  <c r="A36" i="10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J33" i="10"/>
  <c r="F33" i="10"/>
  <c r="F35" i="11" s="1"/>
  <c r="D33" i="10"/>
  <c r="D35" i="11" s="1"/>
  <c r="M48" i="11" l="1"/>
  <c r="D52" i="11" s="1"/>
  <c r="J54" i="10"/>
  <c r="G22" i="5" l="1"/>
  <c r="H22" i="5" s="1"/>
  <c r="G24" i="5"/>
  <c r="H24" i="5" s="1"/>
  <c r="G18" i="5"/>
  <c r="I18" i="5" s="1"/>
  <c r="G19" i="5"/>
  <c r="H19" i="5" s="1"/>
  <c r="K19" i="5" s="1"/>
  <c r="G20" i="5"/>
  <c r="H20" i="5" s="1"/>
  <c r="G14" i="5"/>
  <c r="I14" i="5" s="1"/>
  <c r="G11" i="5"/>
  <c r="H11" i="5" s="1"/>
  <c r="G12" i="5"/>
  <c r="H12" i="5" s="1"/>
  <c r="K20" i="5" l="1"/>
  <c r="K24" i="5"/>
  <c r="K11" i="5"/>
  <c r="K22" i="5"/>
  <c r="K12" i="5"/>
  <c r="I22" i="5"/>
  <c r="H18" i="5"/>
  <c r="I24" i="5"/>
  <c r="I20" i="5"/>
  <c r="I19" i="5"/>
  <c r="L19" i="5" s="1"/>
  <c r="H14" i="5"/>
  <c r="I12" i="5"/>
  <c r="I11" i="5"/>
  <c r="L24" i="5" l="1"/>
  <c r="L11" i="5"/>
  <c r="L20" i="5"/>
  <c r="L22" i="5"/>
  <c r="L12" i="5"/>
  <c r="K18" i="5"/>
  <c r="L18" i="5" s="1"/>
  <c r="K14" i="5"/>
  <c r="L14" i="5" s="1"/>
  <c r="I8" i="2" l="1"/>
  <c r="G33" i="5" l="1"/>
  <c r="G34" i="5"/>
  <c r="G35" i="5"/>
  <c r="G36" i="5"/>
  <c r="G37" i="5"/>
  <c r="G26" i="5"/>
  <c r="G27" i="5"/>
  <c r="G28" i="5"/>
  <c r="G29" i="5"/>
  <c r="G30" i="5"/>
  <c r="G31" i="5"/>
  <c r="G32" i="5"/>
  <c r="G6" i="5"/>
  <c r="G7" i="5"/>
  <c r="G8" i="5"/>
  <c r="G9" i="5"/>
  <c r="G10" i="5"/>
  <c r="G13" i="5"/>
  <c r="G17" i="5"/>
  <c r="G3" i="5"/>
  <c r="H8" i="5" l="1"/>
  <c r="H9" i="5"/>
  <c r="H10" i="5"/>
  <c r="H13" i="5"/>
  <c r="H17" i="5"/>
  <c r="H26" i="5"/>
  <c r="H27" i="5"/>
  <c r="H29" i="5"/>
  <c r="H30" i="5"/>
  <c r="H31" i="5"/>
  <c r="H32" i="5"/>
  <c r="H33" i="5"/>
  <c r="K33" i="5" s="1"/>
  <c r="J34" i="5"/>
  <c r="J35" i="5"/>
  <c r="H36" i="5"/>
  <c r="H37" i="5"/>
  <c r="H7" i="5"/>
  <c r="G39" i="5"/>
  <c r="G38" i="5"/>
  <c r="H39" i="5" l="1"/>
  <c r="I39" i="5"/>
  <c r="J39" i="5"/>
  <c r="H38" i="5"/>
  <c r="I38" i="5"/>
  <c r="J38" i="5"/>
  <c r="H28" i="5"/>
  <c r="J36" i="5"/>
  <c r="I36" i="5"/>
  <c r="L33" i="5"/>
  <c r="H34" i="5"/>
  <c r="I34" i="5"/>
  <c r="J33" i="5"/>
  <c r="I33" i="5"/>
  <c r="J37" i="5"/>
  <c r="H35" i="5"/>
  <c r="L36" i="5"/>
  <c r="K36" i="5"/>
  <c r="I35" i="5"/>
  <c r="K37" i="5"/>
  <c r="L37" i="5"/>
  <c r="I37" i="5"/>
  <c r="L38" i="5" l="1"/>
  <c r="K38" i="5"/>
  <c r="K39" i="5"/>
  <c r="L39" i="5"/>
  <c r="L34" i="5"/>
  <c r="K34" i="5"/>
  <c r="M33" i="5"/>
  <c r="K35" i="5"/>
  <c r="L35" i="5"/>
  <c r="M36" i="5"/>
  <c r="M37" i="5"/>
  <c r="M39" i="5" l="1"/>
  <c r="M38" i="5"/>
  <c r="M34" i="5"/>
  <c r="M35" i="5"/>
  <c r="H51" i="9" l="1"/>
  <c r="J51" i="9" s="1"/>
  <c r="H50" i="9"/>
  <c r="J50" i="9" s="1"/>
  <c r="F50" i="9"/>
  <c r="F51" i="9"/>
  <c r="D50" i="9"/>
  <c r="D51" i="9"/>
  <c r="F49" i="9" l="1"/>
  <c r="D49" i="9"/>
  <c r="F48" i="9"/>
  <c r="D48" i="9"/>
  <c r="F47" i="9"/>
  <c r="D47" i="9"/>
  <c r="H46" i="9"/>
  <c r="J46" i="9" s="1"/>
  <c r="F46" i="9"/>
  <c r="D46" i="9"/>
  <c r="H45" i="9"/>
  <c r="J45" i="9" s="1"/>
  <c r="F45" i="9"/>
  <c r="D45" i="9"/>
  <c r="H44" i="9"/>
  <c r="J44" i="9" s="1"/>
  <c r="F44" i="9"/>
  <c r="D44" i="9"/>
  <c r="F43" i="9"/>
  <c r="D43" i="9"/>
  <c r="F42" i="9"/>
  <c r="D42" i="9"/>
  <c r="F41" i="9"/>
  <c r="D41" i="9"/>
  <c r="H40" i="9"/>
  <c r="J40" i="9" s="1"/>
  <c r="F40" i="9"/>
  <c r="D40" i="9"/>
  <c r="H39" i="9"/>
  <c r="J39" i="9" s="1"/>
  <c r="F39" i="9"/>
  <c r="D39" i="9"/>
  <c r="H38" i="9"/>
  <c r="J38" i="9" s="1"/>
  <c r="F38" i="9"/>
  <c r="D38" i="9"/>
  <c r="H37" i="9"/>
  <c r="J37" i="9" s="1"/>
  <c r="F37" i="9"/>
  <c r="D37" i="9"/>
  <c r="H36" i="9"/>
  <c r="J36" i="9" s="1"/>
  <c r="F36" i="9"/>
  <c r="D36" i="9"/>
  <c r="H35" i="9"/>
  <c r="J35" i="9" s="1"/>
  <c r="F35" i="9"/>
  <c r="D35" i="9"/>
  <c r="A35" i="9"/>
  <c r="A36" i="9" s="1"/>
  <c r="A37" i="9" s="1"/>
  <c r="A38" i="9" s="1"/>
  <c r="A39" i="9" s="1"/>
  <c r="A48" i="9" s="1"/>
  <c r="A49" i="9" s="1"/>
  <c r="A52" i="9" s="1"/>
  <c r="H34" i="9"/>
  <c r="J34" i="9" s="1"/>
  <c r="F34" i="9"/>
  <c r="D34" i="9"/>
  <c r="A55" i="2" l="1"/>
  <c r="K27" i="5" l="1"/>
  <c r="K28" i="5"/>
  <c r="K29" i="5"/>
  <c r="K30" i="5"/>
  <c r="K31" i="5"/>
  <c r="K32" i="5"/>
  <c r="K49" i="5"/>
  <c r="K50" i="5"/>
  <c r="K51" i="5"/>
  <c r="K52" i="5"/>
  <c r="K53" i="5"/>
  <c r="K26" i="5"/>
  <c r="I26" i="5"/>
  <c r="I27" i="5"/>
  <c r="I28" i="5"/>
  <c r="I29" i="5"/>
  <c r="I30" i="5"/>
  <c r="I31" i="5"/>
  <c r="I32" i="5"/>
  <c r="H6" i="5"/>
  <c r="K9" i="5"/>
  <c r="I5" i="11"/>
  <c r="K6" i="5" l="1"/>
  <c r="K17" i="5"/>
  <c r="K8" i="5"/>
  <c r="K10" i="5"/>
  <c r="I10" i="5"/>
  <c r="I13" i="5"/>
  <c r="I8" i="5"/>
  <c r="I6" i="5"/>
  <c r="I17" i="5"/>
  <c r="I9" i="5"/>
  <c r="L9" i="5" s="1"/>
  <c r="H48" i="9" l="1"/>
  <c r="J48" i="9" s="1"/>
  <c r="L6" i="5"/>
  <c r="H47" i="9"/>
  <c r="J47" i="9" s="1"/>
  <c r="H49" i="9"/>
  <c r="J49" i="9" s="1"/>
  <c r="H43" i="9"/>
  <c r="J43" i="9" s="1"/>
  <c r="K13" i="5"/>
  <c r="L13" i="5" s="1"/>
  <c r="L17" i="5"/>
  <c r="L8" i="5"/>
  <c r="L10" i="5"/>
  <c r="H41" i="9" l="1"/>
  <c r="J41" i="9" s="1"/>
  <c r="H42" i="9" l="1"/>
  <c r="J42" i="9" s="1"/>
  <c r="J53" i="9" s="1"/>
  <c r="J26" i="5"/>
  <c r="H3" i="5" l="1"/>
  <c r="I3" i="5" l="1"/>
  <c r="L32" i="5"/>
  <c r="L31" i="5"/>
  <c r="J31" i="5"/>
  <c r="L30" i="5"/>
  <c r="J30" i="5"/>
  <c r="L29" i="5"/>
  <c r="L28" i="5"/>
  <c r="L27" i="5"/>
  <c r="J27" i="5"/>
  <c r="L26" i="5"/>
  <c r="M26" i="5" s="1"/>
  <c r="H5" i="5" l="1"/>
  <c r="I5" i="5"/>
  <c r="I7" i="5"/>
  <c r="J28" i="5"/>
  <c r="M28" i="5" s="1"/>
  <c r="J29" i="5"/>
  <c r="M29" i="5" s="1"/>
  <c r="M31" i="5"/>
  <c r="M30" i="5"/>
  <c r="J32" i="5"/>
  <c r="M32" i="5" s="1"/>
  <c r="M27" i="5"/>
  <c r="K7" i="5" l="1"/>
  <c r="L7" i="5" s="1"/>
  <c r="K5" i="5"/>
  <c r="L5" i="5" s="1"/>
  <c r="I15" i="2"/>
  <c r="C4" i="7" l="1"/>
  <c r="G4" i="7" s="1"/>
  <c r="H4" i="7" s="1"/>
  <c r="C5" i="7"/>
  <c r="G5" i="7" s="1"/>
  <c r="H5" i="7" s="1"/>
  <c r="C6" i="7"/>
  <c r="G6" i="7" s="1"/>
  <c r="H6" i="7" s="1"/>
  <c r="C7" i="7"/>
  <c r="G7" i="7" s="1"/>
  <c r="H7" i="7" s="1"/>
  <c r="C8" i="7"/>
  <c r="G8" i="7" s="1"/>
  <c r="H8" i="7" s="1"/>
  <c r="C9" i="7"/>
  <c r="G9" i="7" s="1"/>
  <c r="H9" i="7" s="1"/>
  <c r="C10" i="7"/>
  <c r="G10" i="7" s="1"/>
  <c r="H10" i="7" s="1"/>
  <c r="C11" i="7"/>
  <c r="G11" i="7" s="1"/>
  <c r="H11" i="7" s="1"/>
  <c r="C12" i="7"/>
  <c r="G12" i="7" s="1"/>
  <c r="H12" i="7" s="1"/>
  <c r="C13" i="7"/>
  <c r="G13" i="7" s="1"/>
  <c r="H13" i="7" s="1"/>
  <c r="C14" i="7"/>
  <c r="G14" i="7" s="1"/>
  <c r="H14" i="7" s="1"/>
  <c r="C15" i="7"/>
  <c r="G15" i="7" s="1"/>
  <c r="H15" i="7" s="1"/>
  <c r="C16" i="7"/>
  <c r="G16" i="7" s="1"/>
  <c r="H16" i="7" s="1"/>
  <c r="C3" i="7"/>
  <c r="G3" i="7" s="1"/>
  <c r="H3" i="7" s="1"/>
  <c r="A29" i="2" l="1"/>
  <c r="A22" i="2" l="1"/>
  <c r="A21" i="2"/>
  <c r="D31" i="2" l="1"/>
  <c r="K3" i="5" l="1"/>
  <c r="L3" i="5" s="1"/>
  <c r="A31" i="2"/>
  <c r="A6" i="5" l="1"/>
  <c r="A7" i="5" s="1"/>
  <c r="A8" i="5" s="1"/>
  <c r="A9" i="5" s="1"/>
  <c r="A10" i="5" s="1"/>
  <c r="A13" i="5" s="1"/>
  <c r="A17" i="5" s="1"/>
  <c r="A19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</calcChain>
</file>

<file path=xl/sharedStrings.xml><?xml version="1.0" encoding="utf-8"?>
<sst xmlns="http://schemas.openxmlformats.org/spreadsheetml/2006/main" count="471" uniqueCount="217">
  <si>
    <t>INVOICE</t>
    <phoneticPr fontId="1"/>
  </si>
  <si>
    <r>
      <rPr>
        <b/>
        <sz val="11"/>
        <color theme="1"/>
        <rFont val="ＭＳ Ｐゴシック"/>
        <family val="3"/>
        <charset val="128"/>
      </rPr>
      <t>依頼住</t>
    </r>
    <r>
      <rPr>
        <b/>
        <sz val="11"/>
        <color theme="1"/>
        <rFont val="Times New Roman"/>
        <family val="1"/>
      </rPr>
      <t xml:space="preserve"> (Shipper Address)</t>
    </r>
    <rPh sb="0" eb="2">
      <t>イライ</t>
    </rPh>
    <rPh sb="2" eb="3">
      <t>ジュウ</t>
    </rPh>
    <phoneticPr fontId="1"/>
  </si>
  <si>
    <t>MASUDA VINYL VIETNAM CO.,LTD</t>
    <phoneticPr fontId="3"/>
  </si>
  <si>
    <t>LOT NO1 DONG VANG DINH TRAM INDUSTRIAL ZONE</t>
    <phoneticPr fontId="3"/>
  </si>
  <si>
    <r>
      <t>(</t>
    </r>
    <r>
      <rPr>
        <b/>
        <sz val="10"/>
        <rFont val="ＭＳ Ｐ明朝"/>
        <family val="1"/>
        <charset val="128"/>
      </rPr>
      <t>原産国</t>
    </r>
    <r>
      <rPr>
        <b/>
        <sz val="10"/>
        <rFont val="Times New Roman"/>
        <family val="1"/>
      </rPr>
      <t xml:space="preserve">)
Country of Origin </t>
    </r>
    <rPh sb="1" eb="3">
      <t>ゲンサン</t>
    </rPh>
    <rPh sb="3" eb="4">
      <t>コク</t>
    </rPh>
    <phoneticPr fontId="7"/>
  </si>
  <si>
    <r>
      <t>(</t>
    </r>
    <r>
      <rPr>
        <b/>
        <sz val="9"/>
        <rFont val="ＭＳ Ｐ明朝"/>
        <family val="1"/>
        <charset val="128"/>
      </rPr>
      <t>仕向先国名</t>
    </r>
    <r>
      <rPr>
        <b/>
        <sz val="9"/>
        <rFont val="Times New Roman"/>
        <family val="1"/>
      </rPr>
      <t>) 
Country of Destination</t>
    </r>
    <rPh sb="1" eb="3">
      <t>シム</t>
    </rPh>
    <rPh sb="3" eb="4">
      <t>サキ</t>
    </rPh>
    <rPh sb="4" eb="5">
      <t>クニ</t>
    </rPh>
    <rPh sb="5" eb="6">
      <t>メイ</t>
    </rPh>
    <phoneticPr fontId="7"/>
  </si>
  <si>
    <t>NENH TOWN VIET YEN DISTRICT BAC GIANG PROVINCE</t>
  </si>
  <si>
    <t>TEL : 0204 3662 777</t>
    <phoneticPr fontId="3"/>
  </si>
  <si>
    <t>VIETNAM</t>
    <phoneticPr fontId="1"/>
  </si>
  <si>
    <t>INDONESIA</t>
    <phoneticPr fontId="1"/>
  </si>
  <si>
    <t>FAX : 0204 3662 825</t>
    <phoneticPr fontId="3"/>
  </si>
  <si>
    <r>
      <rPr>
        <b/>
        <sz val="10"/>
        <rFont val="ＭＳ Ｐ明朝"/>
        <family val="1"/>
        <charset val="128"/>
      </rPr>
      <t>支払条件</t>
    </r>
    <r>
      <rPr>
        <b/>
        <sz val="10"/>
        <rFont val="Times New Roman"/>
        <family val="1"/>
      </rPr>
      <t xml:space="preserve"> (Terms of Payment)</t>
    </r>
    <rPh sb="0" eb="2">
      <t>シハライ</t>
    </rPh>
    <rPh sb="2" eb="4">
      <t>ジョウケン</t>
    </rPh>
    <phoneticPr fontId="7"/>
  </si>
  <si>
    <t>Invoice will be closed on delivery day and payment after 60days</t>
    <phoneticPr fontId="1"/>
  </si>
  <si>
    <r>
      <rPr>
        <b/>
        <sz val="11"/>
        <rFont val="ＭＳ Ｐゴシック"/>
        <family val="2"/>
      </rPr>
      <t>荷受人</t>
    </r>
    <r>
      <rPr>
        <b/>
        <sz val="11"/>
        <rFont val="Times New Roman"/>
        <family val="1"/>
      </rPr>
      <t>(Consigneer)</t>
    </r>
    <phoneticPr fontId="1"/>
  </si>
  <si>
    <t>PT. Sumitronics Indonesia</t>
  </si>
  <si>
    <t>KAWASAN INDUSTRIAL EJIP PLOT 1E-2  SUKARESMI CIKARANG SELATAN</t>
  </si>
  <si>
    <r>
      <rPr>
        <sz val="11"/>
        <color theme="1"/>
        <rFont val="ＭＳ Ｐゴシック"/>
        <family val="2"/>
        <charset val="128"/>
      </rPr>
      <t>備考</t>
    </r>
    <r>
      <rPr>
        <sz val="11"/>
        <color theme="1"/>
        <rFont val="Times New Roman"/>
        <family val="1"/>
      </rPr>
      <t xml:space="preserve"> (Remark):</t>
    </r>
    <rPh sb="0" eb="2">
      <t>ビコウ</t>
    </rPh>
    <phoneticPr fontId="1"/>
  </si>
  <si>
    <t>KAB. BEKASI JAWA BARAT 17530  INDONESIA</t>
  </si>
  <si>
    <t>TEL :62-21-8975220 ext : 252</t>
    <phoneticPr fontId="3"/>
  </si>
  <si>
    <r>
      <rPr>
        <sz val="11"/>
        <color theme="1"/>
        <rFont val="ＭＳ Ｐゴシック"/>
        <family val="2"/>
        <charset val="128"/>
      </rPr>
      <t>　　　　　有償（</t>
    </r>
    <r>
      <rPr>
        <sz val="11"/>
        <color theme="1"/>
        <rFont val="Times New Roman"/>
        <family val="1"/>
      </rPr>
      <t xml:space="preserve">Commerical Value) </t>
    </r>
    <rPh sb="5" eb="7">
      <t>ユウショウ</t>
    </rPh>
    <phoneticPr fontId="1"/>
  </si>
  <si>
    <r>
      <t xml:space="preserve">           </t>
    </r>
    <r>
      <rPr>
        <sz val="11"/>
        <color theme="1"/>
        <rFont val="ＭＳ Ｐゴシック"/>
        <family val="2"/>
        <charset val="128"/>
      </rPr>
      <t>無償（</t>
    </r>
    <r>
      <rPr>
        <sz val="11"/>
        <color theme="1"/>
        <rFont val="Times New Roman"/>
        <family val="1"/>
      </rPr>
      <t xml:space="preserve">No Commerical Value) </t>
    </r>
    <rPh sb="11" eb="13">
      <t>ムショウ</t>
    </rPh>
    <phoneticPr fontId="1"/>
  </si>
  <si>
    <r>
      <t>From (</t>
    </r>
    <r>
      <rPr>
        <sz val="11"/>
        <rFont val="ＭＳ Ｐ明朝"/>
        <family val="1"/>
        <charset val="128"/>
      </rPr>
      <t>発地国</t>
    </r>
    <r>
      <rPr>
        <sz val="11"/>
        <rFont val="Times New Roman"/>
        <family val="1"/>
      </rPr>
      <t>)</t>
    </r>
    <rPh sb="6" eb="7">
      <t>ハツ</t>
    </rPh>
    <rPh sb="7" eb="8">
      <t>チ</t>
    </rPh>
    <rPh sb="8" eb="9">
      <t>コク</t>
    </rPh>
    <phoneticPr fontId="3"/>
  </si>
  <si>
    <r>
      <rPr>
        <sz val="11"/>
        <color theme="1"/>
        <rFont val="ＭＳ Ｐゴシック"/>
        <family val="2"/>
        <charset val="128"/>
      </rPr>
      <t>　　　　　贈物（</t>
    </r>
    <r>
      <rPr>
        <sz val="11"/>
        <color theme="1"/>
        <rFont val="Times New Roman"/>
        <family val="1"/>
      </rPr>
      <t>Gift)</t>
    </r>
    <rPh sb="5" eb="6">
      <t>オク</t>
    </rPh>
    <rPh sb="6" eb="7">
      <t>モノ</t>
    </rPh>
    <phoneticPr fontId="1"/>
  </si>
  <si>
    <t>BACGIANG VIETNAM</t>
    <phoneticPr fontId="1"/>
  </si>
  <si>
    <r>
      <t xml:space="preserve">           </t>
    </r>
    <r>
      <rPr>
        <sz val="11"/>
        <color theme="1"/>
        <rFont val="ＭＳ Ｐゴシック"/>
        <family val="2"/>
        <charset val="128"/>
      </rPr>
      <t>商品見本（</t>
    </r>
    <r>
      <rPr>
        <sz val="11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Sample, No Commercial Value</t>
    </r>
    <r>
      <rPr>
        <sz val="11"/>
        <color theme="1"/>
        <rFont val="Times New Roman"/>
        <family val="1"/>
      </rPr>
      <t xml:space="preserve"> )</t>
    </r>
    <rPh sb="11" eb="13">
      <t>ショウヒン</t>
    </rPh>
    <rPh sb="13" eb="15">
      <t>ミホン</t>
    </rPh>
    <phoneticPr fontId="1"/>
  </si>
  <si>
    <r>
      <t>To (</t>
    </r>
    <r>
      <rPr>
        <sz val="11"/>
        <rFont val="ＭＳ Ｐ明朝"/>
        <family val="1"/>
        <charset val="128"/>
      </rPr>
      <t>着地国</t>
    </r>
    <r>
      <rPr>
        <sz val="11"/>
        <rFont val="Times New Roman"/>
        <family val="1"/>
      </rPr>
      <t>)</t>
    </r>
    <rPh sb="4" eb="5">
      <t>チャク</t>
    </rPh>
    <rPh sb="5" eb="6">
      <t>チ</t>
    </rPh>
    <rPh sb="6" eb="7">
      <t>コク</t>
    </rPh>
    <phoneticPr fontId="3"/>
  </si>
  <si>
    <r>
      <t xml:space="preserve">           </t>
    </r>
    <r>
      <rPr>
        <sz val="11"/>
        <color theme="1"/>
        <rFont val="ＭＳ Ｐゴシック"/>
        <family val="2"/>
        <charset val="128"/>
      </rPr>
      <t>その他（</t>
    </r>
    <r>
      <rPr>
        <sz val="11"/>
        <color theme="1"/>
        <rFont val="Times New Roman"/>
        <family val="1"/>
      </rPr>
      <t>Other)</t>
    </r>
    <rPh sb="13" eb="14">
      <t>ホカ</t>
    </rPh>
    <phoneticPr fontId="1"/>
  </si>
  <si>
    <t>JAKARTA INDONESIA</t>
  </si>
  <si>
    <r>
      <rPr>
        <sz val="11"/>
        <color theme="1"/>
        <rFont val="ＭＳ Ｐゴシック"/>
        <family val="2"/>
        <charset val="128"/>
      </rPr>
      <t xml:space="preserve">品番
</t>
    </r>
    <r>
      <rPr>
        <sz val="11"/>
        <color theme="1"/>
        <rFont val="Times New Roman"/>
        <family val="1"/>
      </rPr>
      <t>( Part No)</t>
    </r>
    <rPh sb="0" eb="2">
      <t>ヒンバン</t>
    </rPh>
    <phoneticPr fontId="1"/>
  </si>
  <si>
    <r>
      <rPr>
        <sz val="11"/>
        <color theme="1"/>
        <rFont val="ＭＳ Ｐゴシック"/>
        <family val="2"/>
        <charset val="128"/>
      </rPr>
      <t xml:space="preserve">品名
</t>
    </r>
    <r>
      <rPr>
        <sz val="11"/>
        <color theme="1"/>
        <rFont val="Times New Roman"/>
        <family val="1"/>
      </rPr>
      <t>(Part Name)</t>
    </r>
    <rPh sb="0" eb="2">
      <t>ヒンメイ</t>
    </rPh>
    <phoneticPr fontId="1"/>
  </si>
  <si>
    <t>注文書No
PO No</t>
  </si>
  <si>
    <r>
      <rPr>
        <sz val="11"/>
        <color theme="1"/>
        <rFont val="ＭＳ Ｐゴシック"/>
        <family val="2"/>
        <charset val="128"/>
      </rPr>
      <t>単位
（</t>
    </r>
    <r>
      <rPr>
        <sz val="11"/>
        <color theme="1"/>
        <rFont val="Times New Roman"/>
        <family val="1"/>
      </rPr>
      <t>Unit</t>
    </r>
    <r>
      <rPr>
        <sz val="11"/>
        <color theme="1"/>
        <rFont val="ＭＳ Ｐゴシック"/>
        <family val="2"/>
        <charset val="128"/>
      </rPr>
      <t>）</t>
    </r>
    <rPh sb="0" eb="2">
      <t>タンイ</t>
    </rPh>
    <phoneticPr fontId="1"/>
  </si>
  <si>
    <r>
      <rPr>
        <sz val="11"/>
        <color theme="1"/>
        <rFont val="ＭＳ Ｐゴシック"/>
        <family val="2"/>
        <charset val="128"/>
      </rPr>
      <t>数量
（</t>
    </r>
    <r>
      <rPr>
        <sz val="11"/>
        <color theme="1"/>
        <rFont val="Times New Roman"/>
        <family val="1"/>
      </rPr>
      <t>Quantity)</t>
    </r>
    <rPh sb="0" eb="2">
      <t>スウリョウ</t>
    </rPh>
    <phoneticPr fontId="1"/>
  </si>
  <si>
    <r>
      <rPr>
        <sz val="11"/>
        <color theme="1"/>
        <rFont val="ＭＳ Ｐゴシック"/>
        <family val="2"/>
        <charset val="128"/>
      </rPr>
      <t>単価
（</t>
    </r>
    <r>
      <rPr>
        <sz val="11"/>
        <color theme="1"/>
        <rFont val="Times New Roman"/>
        <family val="1"/>
      </rPr>
      <t>Unit Price</t>
    </r>
    <r>
      <rPr>
        <sz val="11"/>
        <color theme="1"/>
        <rFont val="ＭＳ Ｐゴシック"/>
        <family val="2"/>
        <charset val="128"/>
      </rPr>
      <t>）</t>
    </r>
    <rPh sb="0" eb="2">
      <t>タンカ</t>
    </rPh>
    <phoneticPr fontId="1"/>
  </si>
  <si>
    <r>
      <rPr>
        <sz val="11"/>
        <color theme="1"/>
        <rFont val="ＭＳ Ｐゴシック"/>
        <family val="2"/>
        <charset val="128"/>
      </rPr>
      <t>合計
（</t>
    </r>
    <r>
      <rPr>
        <sz val="11"/>
        <color theme="1"/>
        <rFont val="Times New Roman"/>
        <family val="1"/>
      </rPr>
      <t>Total Amount)</t>
    </r>
    <rPh sb="0" eb="2">
      <t>ゴウケイ</t>
    </rPh>
    <phoneticPr fontId="1"/>
  </si>
  <si>
    <t>LDBA053500-0</t>
  </si>
  <si>
    <t>LDBA053900-1</t>
  </si>
  <si>
    <t>LDBA054000-2</t>
  </si>
  <si>
    <t>LDBA053601-1</t>
  </si>
  <si>
    <t>LDBA053700-0</t>
  </si>
  <si>
    <t>LDBA053800-0</t>
  </si>
  <si>
    <t>LDBA064301-1</t>
  </si>
  <si>
    <t>LDBA044200-3</t>
  </si>
  <si>
    <t>LDBA044400-3</t>
  </si>
  <si>
    <t>LDBA044500-3</t>
  </si>
  <si>
    <t>LDBA044600-4</t>
  </si>
  <si>
    <t>LDBA044700-5</t>
  </si>
  <si>
    <t>DOOR OUTER SASH L</t>
  </si>
  <si>
    <t>LDBA044800-7</t>
  </si>
  <si>
    <t>LDBA044901-0</t>
  </si>
  <si>
    <t>LDBA045001-0</t>
  </si>
  <si>
    <t>LDBA045100-7</t>
  </si>
  <si>
    <t>LDBA044000-0</t>
  </si>
  <si>
    <t>LDBA044100-0</t>
  </si>
  <si>
    <r>
      <rPr>
        <b/>
        <sz val="11"/>
        <color theme="1"/>
        <rFont val="ＭＳ Ｐゴシック"/>
        <family val="2"/>
        <charset val="128"/>
      </rPr>
      <t>合計　（</t>
    </r>
    <r>
      <rPr>
        <b/>
        <sz val="11"/>
        <color theme="1"/>
        <rFont val="Times New Roman"/>
        <family val="1"/>
      </rPr>
      <t>Total)</t>
    </r>
  </si>
  <si>
    <t>Terms: FOB HAI PHONG VIETNAM Incoterms® 2020</t>
  </si>
  <si>
    <r>
      <rPr>
        <sz val="11"/>
        <color theme="1"/>
        <rFont val="ＭＳ Ｐゴシック"/>
        <family val="2"/>
        <charset val="128"/>
      </rPr>
      <t>署名（</t>
    </r>
    <r>
      <rPr>
        <sz val="11"/>
        <color theme="1"/>
        <rFont val="Times New Roman"/>
        <family val="1"/>
      </rPr>
      <t xml:space="preserve"> Singnature )</t>
    </r>
  </si>
  <si>
    <t>原産国 (Country of Origin) : VIETNAM</t>
  </si>
  <si>
    <t>PACKING LIST</t>
    <phoneticPr fontId="1"/>
  </si>
  <si>
    <r>
      <t>(</t>
    </r>
    <r>
      <rPr>
        <b/>
        <sz val="10"/>
        <rFont val="ＭＳ Ｐ明朝"/>
        <family val="1"/>
        <charset val="128"/>
      </rPr>
      <t>原産国</t>
    </r>
    <r>
      <rPr>
        <b/>
        <sz val="10"/>
        <rFont val="Times New Roman"/>
        <family val="1"/>
      </rPr>
      <t xml:space="preserve">)
Country of Origin </t>
    </r>
  </si>
  <si>
    <t>INDONESIA</t>
  </si>
  <si>
    <r>
      <rPr>
        <sz val="11"/>
        <color theme="1"/>
        <rFont val="ＭＳ Ｐゴシック"/>
        <family val="2"/>
        <charset val="128"/>
      </rPr>
      <t>　　　</t>
    </r>
    <r>
      <rPr>
        <sz val="11"/>
        <color theme="1"/>
        <rFont val="Times New Roman"/>
        <family val="1"/>
      </rPr>
      <t xml:space="preserve">     </t>
    </r>
    <r>
      <rPr>
        <sz val="11"/>
        <color theme="1"/>
        <rFont val="ＭＳ Ｐゴシック"/>
        <family val="2"/>
        <charset val="128"/>
      </rPr>
      <t>有償（</t>
    </r>
    <r>
      <rPr>
        <sz val="11"/>
        <color theme="1"/>
        <rFont val="Times New Roman"/>
        <family val="1"/>
      </rPr>
      <t xml:space="preserve">Commerical Value) </t>
    </r>
    <rPh sb="8" eb="10">
      <t>ユウショウ</t>
    </rPh>
    <phoneticPr fontId="1"/>
  </si>
  <si>
    <r>
      <t xml:space="preserve">             </t>
    </r>
    <r>
      <rPr>
        <sz val="11"/>
        <color theme="1"/>
        <rFont val="ＭＳ Ｐゴシック"/>
        <family val="2"/>
        <charset val="128"/>
      </rPr>
      <t>無償（</t>
    </r>
    <r>
      <rPr>
        <sz val="11"/>
        <color theme="1"/>
        <rFont val="Times New Roman"/>
        <family val="1"/>
      </rPr>
      <t xml:space="preserve">No Commerical Value) </t>
    </r>
    <rPh sb="13" eb="15">
      <t>ムショウ</t>
    </rPh>
    <phoneticPr fontId="1"/>
  </si>
  <si>
    <r>
      <rPr>
        <sz val="11"/>
        <color theme="1"/>
        <rFont val="ＭＳ Ｐゴシック"/>
        <family val="2"/>
        <charset val="128"/>
      </rPr>
      <t>　　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2"/>
        <charset val="128"/>
      </rPr>
      <t>贈物（</t>
    </r>
    <r>
      <rPr>
        <sz val="11"/>
        <color theme="1"/>
        <rFont val="Times New Roman"/>
        <family val="1"/>
      </rPr>
      <t>Gift)</t>
    </r>
    <rPh sb="6" eb="7">
      <t>オク</t>
    </rPh>
    <rPh sb="7" eb="8">
      <t>モノ</t>
    </rPh>
    <phoneticPr fontId="1"/>
  </si>
  <si>
    <r>
      <t xml:space="preserve">             </t>
    </r>
    <r>
      <rPr>
        <sz val="11"/>
        <color theme="1"/>
        <rFont val="ＭＳ Ｐゴシック"/>
        <family val="2"/>
        <charset val="128"/>
      </rPr>
      <t>商品見本（</t>
    </r>
    <r>
      <rPr>
        <sz val="11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Sample, No Commercial Value</t>
    </r>
    <r>
      <rPr>
        <sz val="11"/>
        <color theme="1"/>
        <rFont val="Times New Roman"/>
        <family val="1"/>
      </rPr>
      <t xml:space="preserve"> )</t>
    </r>
    <rPh sb="13" eb="15">
      <t>ショウヒン</t>
    </rPh>
    <rPh sb="15" eb="17">
      <t>ミホン</t>
    </rPh>
    <phoneticPr fontId="1"/>
  </si>
  <si>
    <r>
      <t xml:space="preserve">             </t>
    </r>
    <r>
      <rPr>
        <sz val="11"/>
        <color theme="1"/>
        <rFont val="ＭＳ Ｐゴシック"/>
        <family val="2"/>
        <charset val="128"/>
      </rPr>
      <t>その他（</t>
    </r>
    <r>
      <rPr>
        <sz val="11"/>
        <color theme="1"/>
        <rFont val="Times New Roman"/>
        <family val="1"/>
      </rPr>
      <t>Other)</t>
    </r>
    <rPh sb="15" eb="16">
      <t>ホカ</t>
    </rPh>
    <phoneticPr fontId="1"/>
  </si>
  <si>
    <r>
      <rPr>
        <sz val="11"/>
        <color theme="1"/>
        <rFont val="ＭＳ Ｐゴシック"/>
        <family val="2"/>
        <charset val="128"/>
      </rPr>
      <t>単位
（</t>
    </r>
    <r>
      <rPr>
        <sz val="11"/>
        <color theme="1"/>
        <rFont val="Times New Roman"/>
        <family val="1"/>
      </rPr>
      <t>Unit</t>
    </r>
    <r>
      <rPr>
        <sz val="11"/>
        <color theme="1"/>
        <rFont val="ＭＳ Ｐゴシック"/>
        <family val="2"/>
        <charset val="128"/>
      </rPr>
      <t>）</t>
    </r>
  </si>
  <si>
    <r>
      <rPr>
        <sz val="11"/>
        <color theme="1"/>
        <rFont val="ＭＳ Ｐゴシック"/>
        <family val="2"/>
        <charset val="128"/>
      </rPr>
      <t>梱包
（</t>
    </r>
    <r>
      <rPr>
        <sz val="11"/>
        <color theme="1"/>
        <rFont val="Times New Roman"/>
        <family val="1"/>
      </rPr>
      <t>Packing</t>
    </r>
    <r>
      <rPr>
        <sz val="11"/>
        <color theme="1"/>
        <rFont val="ＭＳ Ｐゴシック"/>
        <family val="2"/>
        <charset val="128"/>
      </rPr>
      <t>）</t>
    </r>
    <rPh sb="0" eb="2">
      <t>コンポウ</t>
    </rPh>
    <phoneticPr fontId="1"/>
  </si>
  <si>
    <r>
      <rPr>
        <sz val="11"/>
        <color theme="1"/>
        <rFont val="ＭＳ Ｐゴシック"/>
        <family val="2"/>
      </rPr>
      <t xml:space="preserve">箱数
</t>
    </r>
    <r>
      <rPr>
        <sz val="11"/>
        <color theme="1"/>
        <rFont val="Times New Roman"/>
        <family val="1"/>
      </rPr>
      <t xml:space="preserve">( Number of Boxs) </t>
    </r>
  </si>
  <si>
    <r>
      <rPr>
        <sz val="11"/>
        <color theme="1"/>
        <rFont val="ＭＳ Ｐゴシック"/>
        <family val="2"/>
      </rPr>
      <t xml:space="preserve">パレット数
</t>
    </r>
    <r>
      <rPr>
        <sz val="11"/>
        <color theme="1"/>
        <rFont val="Times New Roman"/>
        <family val="1"/>
      </rPr>
      <t>( Number of Pallets)</t>
    </r>
  </si>
  <si>
    <t>正味重量
(Net weight)</t>
  </si>
  <si>
    <r>
      <rPr>
        <sz val="11"/>
        <color theme="1"/>
        <rFont val="ＭＳ Ｐゴシック"/>
        <family val="3"/>
        <charset val="128"/>
      </rPr>
      <t xml:space="preserve">総重量
</t>
    </r>
    <r>
      <rPr>
        <sz val="11"/>
        <color theme="1"/>
        <rFont val="Times New Roman"/>
        <family val="1"/>
      </rPr>
      <t>(Gross weight)</t>
    </r>
  </si>
  <si>
    <r>
      <rPr>
        <sz val="11"/>
        <color theme="1"/>
        <rFont val="ＭＳ Ｐゴシック"/>
        <family val="2"/>
        <charset val="128"/>
      </rPr>
      <t>総重量（</t>
    </r>
    <r>
      <rPr>
        <sz val="11"/>
        <color theme="1"/>
        <rFont val="Times New Roman"/>
        <family val="1"/>
      </rPr>
      <t xml:space="preserve">Gross weight) Kg : </t>
    </r>
    <rPh sb="0" eb="3">
      <t>ソウジュウリョウ</t>
    </rPh>
    <phoneticPr fontId="1"/>
  </si>
  <si>
    <r>
      <rPr>
        <sz val="11"/>
        <color theme="1"/>
        <rFont val="ＭＳ Ｐゴシック"/>
        <family val="2"/>
        <charset val="128"/>
      </rPr>
      <t>原産国（</t>
    </r>
    <r>
      <rPr>
        <sz val="11"/>
        <color theme="1"/>
        <rFont val="Times New Roman"/>
        <family val="1"/>
      </rPr>
      <t>Country of Origin) :VIETNAM</t>
    </r>
    <rPh sb="0" eb="2">
      <t>ゲンサン</t>
    </rPh>
    <rPh sb="2" eb="3">
      <t>クニ</t>
    </rPh>
    <phoneticPr fontId="1"/>
  </si>
  <si>
    <r>
      <rPr>
        <sz val="11"/>
        <color theme="1"/>
        <rFont val="ＭＳ Ｐゴシック"/>
        <family val="3"/>
        <charset val="128"/>
      </rPr>
      <t>輸送方法</t>
    </r>
    <r>
      <rPr>
        <sz val="11"/>
        <color theme="1"/>
        <rFont val="Times New Roman"/>
        <family val="1"/>
      </rPr>
      <t xml:space="preserve"> ( Shipped per) : SEA</t>
    </r>
  </si>
  <si>
    <r>
      <rPr>
        <sz val="11"/>
        <color theme="1"/>
        <rFont val="ＭＳ Ｐゴシック"/>
        <family val="2"/>
      </rPr>
      <t>インボイス作成日（</t>
    </r>
    <r>
      <rPr>
        <sz val="11"/>
        <color theme="1"/>
        <rFont val="Times New Roman"/>
        <family val="1"/>
      </rPr>
      <t>Date): 22/08/2021</t>
    </r>
  </si>
  <si>
    <t>Invoice No
MVV-029</t>
  </si>
  <si>
    <r>
      <rPr>
        <b/>
        <sz val="11"/>
        <rFont val="ＭＳ Ｐ明朝"/>
        <family val="1"/>
        <charset val="128"/>
      </rPr>
      <t>原産国</t>
    </r>
    <r>
      <rPr>
        <b/>
        <sz val="11"/>
        <rFont val="Times New Roman"/>
        <family val="1"/>
      </rPr>
      <t xml:space="preserve"> (Country of Origin) : VIETNAM</t>
    </r>
    <rPh sb="0" eb="2">
      <t>ゲンサン</t>
    </rPh>
    <rPh sb="2" eb="3">
      <t>コク</t>
    </rPh>
    <phoneticPr fontId="7"/>
  </si>
  <si>
    <r>
      <rPr>
        <b/>
        <u/>
        <sz val="11"/>
        <rFont val="ＭＳ Ｐゴシック"/>
        <family val="2"/>
      </rPr>
      <t>運送条件（</t>
    </r>
    <r>
      <rPr>
        <b/>
        <u/>
        <sz val="11"/>
        <rFont val="Times New Roman"/>
        <family val="1"/>
      </rPr>
      <t>Delivery Term): EXW</t>
    </r>
  </si>
  <si>
    <t>MASUDA VINYL VET NAM</t>
  </si>
  <si>
    <t>TEL : 0204 3662 777</t>
  </si>
  <si>
    <t>PT. SUMITRONICS INDONESIA</t>
  </si>
  <si>
    <t>TEL :62-21-8975220 ext : 252</t>
  </si>
  <si>
    <r>
      <rPr>
        <sz val="48"/>
        <color theme="1"/>
        <rFont val="Calibri"/>
        <family val="2"/>
      </rPr>
      <t>①</t>
    </r>
    <r>
      <rPr>
        <sz val="48"/>
        <color theme="1"/>
        <rFont val="ＭＳ Ｐゴシック"/>
        <family val="2"/>
        <charset val="128"/>
        <scheme val="major"/>
      </rPr>
      <t xml:space="preserve">
LDBA044100:24B</t>
    </r>
    <r>
      <rPr>
        <sz val="48"/>
        <color theme="1"/>
        <rFont val="ＭＳ Ｐゴシック"/>
        <family val="2"/>
        <scheme val="major"/>
      </rPr>
      <t>OX</t>
    </r>
  </si>
  <si>
    <r>
      <rPr>
        <sz val="48"/>
        <color theme="1"/>
        <rFont val="Calibri Light"/>
        <family val="2"/>
      </rPr>
      <t>②</t>
    </r>
    <r>
      <rPr>
        <sz val="48"/>
        <color theme="1"/>
        <rFont val="ＭＳ Ｐゴシック"/>
        <family val="2"/>
        <charset val="128"/>
        <scheme val="major"/>
      </rPr>
      <t xml:space="preserve">
LDBA045100 : 24BOX</t>
    </r>
  </si>
  <si>
    <r>
      <rPr>
        <sz val="48"/>
        <color theme="1"/>
        <rFont val="Calibri"/>
        <family val="2"/>
      </rPr>
      <t xml:space="preserve">
⑤</t>
    </r>
    <r>
      <rPr>
        <sz val="48"/>
        <color theme="1"/>
        <rFont val="ＭＳ Ｐゴシック"/>
        <family val="2"/>
        <charset val="128"/>
        <scheme val="major"/>
      </rPr>
      <t xml:space="preserve">
LDBA044900 : 15BOX
LDBA044100 : 9BOX
</t>
    </r>
  </si>
  <si>
    <r>
      <rPr>
        <sz val="48"/>
        <color theme="1"/>
        <rFont val="Calibri Light"/>
        <family val="2"/>
      </rPr>
      <t>⑧</t>
    </r>
    <r>
      <rPr>
        <sz val="48"/>
        <color theme="1"/>
        <rFont val="ＭＳ Ｐゴシック"/>
        <family val="2"/>
        <charset val="128"/>
        <scheme val="major"/>
      </rPr>
      <t xml:space="preserve">
LDBA044200 : 24BOX
LDBA044400:  12BOX</t>
    </r>
  </si>
  <si>
    <r>
      <rPr>
        <sz val="48"/>
        <color theme="1"/>
        <rFont val="Calibri Light"/>
        <family val="2"/>
      </rPr>
      <t xml:space="preserve">
③</t>
    </r>
    <r>
      <rPr>
        <sz val="48"/>
        <color theme="1"/>
        <rFont val="ＭＳ Ｐゴシック"/>
        <family val="2"/>
        <charset val="128"/>
        <scheme val="major"/>
      </rPr>
      <t xml:space="preserve">
LDBA043800 : 15BOX
</t>
    </r>
  </si>
  <si>
    <r>
      <rPr>
        <sz val="48"/>
        <color theme="1"/>
        <rFont val="Calibri Light"/>
        <family val="2"/>
      </rPr>
      <t xml:space="preserve">
④</t>
    </r>
    <r>
      <rPr>
        <sz val="48"/>
        <color theme="1"/>
        <rFont val="ＭＳ Ｐゴシック"/>
        <family val="2"/>
        <charset val="128"/>
        <scheme val="major"/>
      </rPr>
      <t xml:space="preserve">
LDBA043900 : 13BOX</t>
    </r>
  </si>
  <si>
    <r>
      <rPr>
        <sz val="48"/>
        <color theme="1"/>
        <rFont val="Calibri Light"/>
        <family val="2"/>
      </rPr>
      <t xml:space="preserve">
⑥</t>
    </r>
    <r>
      <rPr>
        <sz val="48"/>
        <color theme="1"/>
        <rFont val="ＭＳ Ｐゴシック"/>
        <family val="2"/>
        <charset val="128"/>
        <scheme val="major"/>
      </rPr>
      <t xml:space="preserve">
LDBA044100 : 3BOX</t>
    </r>
    <r>
      <rPr>
        <sz val="48"/>
        <color theme="1"/>
        <rFont val="ＭＳ Ｐゴシック"/>
        <family val="2"/>
        <scheme val="major"/>
      </rPr>
      <t xml:space="preserve">
LDBA045100 : 6BOX
LDBA045000 : 15BOX </t>
    </r>
  </si>
  <si>
    <r>
      <rPr>
        <sz val="48"/>
        <color theme="1"/>
        <rFont val="Calibri Light"/>
        <family val="2"/>
      </rPr>
      <t>⑦</t>
    </r>
    <r>
      <rPr>
        <sz val="48"/>
        <color theme="1"/>
        <rFont val="ＭＳ Ｐゴシック"/>
        <family val="2"/>
        <charset val="128"/>
        <scheme val="major"/>
      </rPr>
      <t xml:space="preserve">
   LDBA044400 : 11BOX
   LDBA044500 : 23BOX</t>
    </r>
  </si>
  <si>
    <t>No</t>
    <phoneticPr fontId="1"/>
  </si>
  <si>
    <r>
      <rPr>
        <sz val="11"/>
        <color theme="1"/>
        <rFont val="ＭＳ Ｐゴシック"/>
        <family val="2"/>
        <charset val="128"/>
      </rPr>
      <t>品名</t>
    </r>
    <rPh sb="0" eb="2">
      <t>ヒンメイ</t>
    </rPh>
    <phoneticPr fontId="1"/>
  </si>
  <si>
    <r>
      <rPr>
        <sz val="11"/>
        <color theme="1"/>
        <rFont val="ＭＳ Ｐゴシック"/>
        <family val="2"/>
        <charset val="128"/>
      </rPr>
      <t>単価</t>
    </r>
    <rPh sb="0" eb="2">
      <t>タンカ</t>
    </rPh>
    <phoneticPr fontId="1"/>
  </si>
  <si>
    <t>重さ</t>
    <rPh sb="0" eb="1">
      <t>オモ</t>
    </rPh>
    <phoneticPr fontId="1"/>
  </si>
  <si>
    <r>
      <rPr>
        <sz val="11"/>
        <color theme="1"/>
        <rFont val="ＭＳ Ｐゴシック"/>
        <family val="2"/>
        <charset val="128"/>
      </rPr>
      <t>梱包</t>
    </r>
    <rPh sb="0" eb="2">
      <t>コンポウ</t>
    </rPh>
    <phoneticPr fontId="1"/>
  </si>
  <si>
    <t>出荷数</t>
  </si>
  <si>
    <r>
      <rPr>
        <sz val="11"/>
        <color theme="1"/>
        <rFont val="ＭＳ Ｐゴシック"/>
        <family val="2"/>
      </rPr>
      <t>箱数</t>
    </r>
    <rPh sb="0" eb="1">
      <t>ハコ</t>
    </rPh>
    <rPh sb="1" eb="2">
      <t>スウ</t>
    </rPh>
    <phoneticPr fontId="1"/>
  </si>
  <si>
    <r>
      <rPr>
        <sz val="11"/>
        <color theme="1"/>
        <rFont val="ＭＳ Ｐゴシック"/>
        <family val="2"/>
      </rPr>
      <t>使用材</t>
    </r>
    <rPh sb="0" eb="2">
      <t>シヨウ</t>
    </rPh>
    <rPh sb="2" eb="3">
      <t>ザイ</t>
    </rPh>
    <phoneticPr fontId="1"/>
  </si>
  <si>
    <r>
      <rPr>
        <sz val="11"/>
        <color theme="1"/>
        <rFont val="ＭＳ Ｐゴシック"/>
        <family val="2"/>
      </rPr>
      <t>袋</t>
    </r>
    <rPh sb="0" eb="1">
      <t>フクロ</t>
    </rPh>
    <phoneticPr fontId="1"/>
  </si>
  <si>
    <r>
      <rPr>
        <sz val="11"/>
        <color theme="1"/>
        <rFont val="ＭＳ Ｐゴシック"/>
        <family val="2"/>
      </rPr>
      <t>段ボール</t>
    </r>
    <rPh sb="0" eb="1">
      <t>ダン</t>
    </rPh>
    <phoneticPr fontId="1"/>
  </si>
  <si>
    <r>
      <rPr>
        <sz val="11"/>
        <color theme="1"/>
        <rFont val="ＭＳ Ｐゴシック"/>
        <family val="2"/>
      </rPr>
      <t>総数量</t>
    </r>
    <rPh sb="0" eb="1">
      <t>ソウ</t>
    </rPh>
    <rPh sb="1" eb="3">
      <t>スウリョウ</t>
    </rPh>
    <phoneticPr fontId="1"/>
  </si>
  <si>
    <t>Số lượng tối 
đa 1palet</t>
  </si>
  <si>
    <t>単位</t>
    <rPh sb="0" eb="2">
      <t>タンイ</t>
    </rPh>
    <phoneticPr fontId="1"/>
  </si>
  <si>
    <t>KT</t>
  </si>
  <si>
    <t>LDBA043800-1</t>
  </si>
  <si>
    <t>RAIL TOP</t>
  </si>
  <si>
    <t>pcs</t>
    <phoneticPr fontId="1"/>
  </si>
  <si>
    <t>78mm x 25mmx710mm</t>
  </si>
  <si>
    <t>LDBA043900-1</t>
  </si>
  <si>
    <t>RAIL BOTTOM</t>
  </si>
  <si>
    <t>33mm x 81mm x 749mm</t>
  </si>
  <si>
    <t>LDBA044000-0</t>
    <phoneticPr fontId="7"/>
  </si>
  <si>
    <t>RAIL SIDE</t>
  </si>
  <si>
    <t>15mm x 78mm x 727mm</t>
  </si>
  <si>
    <t>LDBA044100-0</t>
    <phoneticPr fontId="7"/>
  </si>
  <si>
    <t>15mm x 78mm x 1724mm</t>
  </si>
  <si>
    <t>DOOR UPPER SASH</t>
  </si>
  <si>
    <t>LDBA044400-3</t>
    <phoneticPr fontId="7"/>
  </si>
  <si>
    <t>DOOR LOWER SASH R</t>
  </si>
  <si>
    <t>28mm x 70mm x 353mm</t>
  </si>
  <si>
    <t>LDBA044500-3</t>
    <phoneticPr fontId="7"/>
  </si>
  <si>
    <t>DOOR LOWER SASH L</t>
  </si>
  <si>
    <t>DOOR OUTER SASH R</t>
  </si>
  <si>
    <t>DOOR CENTER SASH</t>
  </si>
  <si>
    <t>DOOR OUTER SASH R</t>
    <phoneticPr fontId="7"/>
  </si>
  <si>
    <t>LDBA043601-0</t>
  </si>
  <si>
    <t>LIGHT COVER</t>
  </si>
  <si>
    <t>17.5mm x 28.8mm x 717mm</t>
  </si>
  <si>
    <t>LDBA045101-1</t>
  </si>
  <si>
    <t>DOOR CENTER SASH-S500H</t>
    <phoneticPr fontId="2"/>
  </si>
  <si>
    <t xml:space="preserve"> LIGHT COVER-S500H</t>
  </si>
  <si>
    <t>DOOR UPPER SASH L-S500H</t>
  </si>
  <si>
    <t>DOOR LOWER SASH L-S500H</t>
  </si>
  <si>
    <t xml:space="preserve"> DOOR LOWER SASH R-S500H</t>
  </si>
  <si>
    <t>RAIL TOP-S500H</t>
  </si>
  <si>
    <t xml:space="preserve"> RAIL BOTTOM-S500H</t>
  </si>
  <si>
    <t>DOOR UPPER SASH R-S500H</t>
  </si>
  <si>
    <t>Số lượng</t>
  </si>
  <si>
    <t>Quy cách đóng thùng</t>
  </si>
  <si>
    <t>Số lượng thùng /palet</t>
  </si>
  <si>
    <t>LDBA044200-2</t>
    <phoneticPr fontId="7"/>
  </si>
  <si>
    <t>LDBA044600-2</t>
    <phoneticPr fontId="7"/>
  </si>
  <si>
    <t>LDBA044700-3</t>
    <phoneticPr fontId="7"/>
  </si>
  <si>
    <t>LDBA044800-5</t>
    <phoneticPr fontId="7"/>
  </si>
  <si>
    <t>LDBA044900-2</t>
  </si>
  <si>
    <t>LDBA045000-3</t>
  </si>
  <si>
    <t>LDBA045100-5</t>
    <phoneticPr fontId="7"/>
  </si>
  <si>
    <t xml:space="preserve">                          </t>
  </si>
  <si>
    <t>LDBA064303-0</t>
  </si>
  <si>
    <t>LDBA053603-0</t>
  </si>
  <si>
    <t>LDBA053601-2</t>
  </si>
  <si>
    <t>LDBA064301-2</t>
  </si>
  <si>
    <t>DOOR UPPER SASH L-S150H</t>
  </si>
  <si>
    <t>DOOR UPPER SASH R-S150H</t>
  </si>
  <si>
    <r>
      <rPr>
        <sz val="11"/>
        <color theme="1"/>
        <rFont val="ＭＳ Ｐゴシック"/>
        <family val="2"/>
        <charset val="128"/>
      </rPr>
      <t>郵便物の個数</t>
    </r>
    <r>
      <rPr>
        <sz val="11"/>
        <color theme="1"/>
        <rFont val="Times New Roman"/>
        <family val="1"/>
      </rPr>
      <t xml:space="preserve"> ( Number of pieces) :</t>
    </r>
  </si>
  <si>
    <t>LDBA044600-6</t>
  </si>
  <si>
    <t>LDBA044700-7</t>
  </si>
  <si>
    <t>LDBA044800-8</t>
  </si>
  <si>
    <t>LDBA045100-8</t>
  </si>
  <si>
    <t>LDBA045101-2</t>
  </si>
  <si>
    <t>LDBA044901-2</t>
  </si>
  <si>
    <t>LDBA045001-2</t>
  </si>
  <si>
    <t>DOOR OUTER SASH L-S500</t>
  </si>
  <si>
    <t>DOOR CENTER SASH-S500</t>
  </si>
  <si>
    <t>DOOR OUTER SASH R -S500</t>
  </si>
  <si>
    <t>LDBA043800-2</t>
  </si>
  <si>
    <r>
      <t xml:space="preserve">           </t>
    </r>
    <r>
      <rPr>
        <sz val="9"/>
        <color theme="1"/>
        <rFont val="ＭＳ Ｐゴシック"/>
        <family val="2"/>
        <charset val="128"/>
      </rPr>
      <t>商品見本（</t>
    </r>
    <r>
      <rPr>
        <sz val="9"/>
        <color theme="1"/>
        <rFont val="Times New Roman"/>
        <family val="1"/>
      </rPr>
      <t xml:space="preserve"> Sample, No Commercial Value )</t>
    </r>
  </si>
  <si>
    <r>
      <rPr>
        <sz val="11"/>
        <color theme="1"/>
        <rFont val="ＭＳ Ｐゴシック"/>
        <family val="2"/>
        <charset val="128"/>
      </rPr>
      <t>原産国（</t>
    </r>
    <r>
      <rPr>
        <sz val="11"/>
        <color theme="1"/>
        <rFont val="Times New Roman"/>
        <family val="1"/>
      </rPr>
      <t>Country of Origin) :VIETNAM</t>
    </r>
  </si>
  <si>
    <t>Invoice No
MVV-002-2023</t>
  </si>
  <si>
    <t>LDBA043900-2</t>
  </si>
  <si>
    <t>LDBA044800-9</t>
  </si>
  <si>
    <t>LDBA044902-0</t>
  </si>
  <si>
    <t>LDBA045002-0</t>
  </si>
  <si>
    <t>LDBA087401-0</t>
  </si>
  <si>
    <t>LDBA053602-1</t>
  </si>
  <si>
    <t>LDBA064302-1</t>
  </si>
  <si>
    <t>LDBA060700-0</t>
  </si>
  <si>
    <t>RAIL SIDE L</t>
  </si>
  <si>
    <t>LDBA060800-0</t>
  </si>
  <si>
    <t>RAIL SIDE R</t>
  </si>
  <si>
    <t>LDBA061200-0</t>
  </si>
  <si>
    <t>LDBA061300-0</t>
  </si>
  <si>
    <t xml:space="preserve"> DOOR LOWER SASH R</t>
  </si>
  <si>
    <t>LDBA060501-1</t>
  </si>
  <si>
    <t>RAIL TOP S1200H</t>
  </si>
  <si>
    <t>DOOR UPPER SASH L-S1000H</t>
  </si>
  <si>
    <t>DOOR UPPER SASH R-S1000H</t>
  </si>
  <si>
    <r>
      <rPr>
        <sz val="11"/>
        <color theme="1"/>
        <rFont val="ＭＳ Ｐゴシック"/>
        <family val="2"/>
        <charset val="128"/>
      </rPr>
      <t>単価
（</t>
    </r>
    <r>
      <rPr>
        <sz val="11"/>
        <color theme="1"/>
        <rFont val="Times New Roman"/>
        <family val="1"/>
      </rPr>
      <t>Unit Price</t>
    </r>
    <r>
      <rPr>
        <sz val="11"/>
        <color theme="1"/>
        <rFont val="ＭＳ Ｐゴシック"/>
        <family val="2"/>
        <charset val="128"/>
      </rPr>
      <t xml:space="preserve">）
</t>
    </r>
    <r>
      <rPr>
        <sz val="11"/>
        <color theme="1"/>
        <rFont val="Times New Roman"/>
        <family val="1"/>
      </rPr>
      <t>USD</t>
    </r>
  </si>
  <si>
    <r>
      <rPr>
        <sz val="11"/>
        <color theme="1"/>
        <rFont val="ＭＳ Ｐゴシック"/>
        <family val="2"/>
        <charset val="128"/>
      </rPr>
      <t>合計
（</t>
    </r>
    <r>
      <rPr>
        <sz val="11"/>
        <color theme="1"/>
        <rFont val="Times New Roman"/>
        <family val="1"/>
      </rPr>
      <t>Total Amount)
USD</t>
    </r>
  </si>
  <si>
    <t>LDBA045101-3</t>
  </si>
  <si>
    <t>DOOR OUTER SASH R -S500H</t>
  </si>
  <si>
    <t>DOOR OUTER SASH L-S500H</t>
  </si>
  <si>
    <t>DOOR CENTER SASH-S500H</t>
  </si>
  <si>
    <t xml:space="preserve">KAWASAN INDUSTRIAL EJIP PLOT 1E-2  SUKARESMI CIKARANG SELATAN </t>
  </si>
  <si>
    <t>TAX ID: 001.558.251.3-056.000</t>
  </si>
  <si>
    <t>LDBA045100-9</t>
  </si>
  <si>
    <t>KAB. BEKASI JAWA BARAT 17857 INDONESIA</t>
  </si>
  <si>
    <t>P</t>
  </si>
  <si>
    <r>
      <rPr>
        <sz val="11"/>
        <color theme="1"/>
        <rFont val="ＭＳ Ｐゴシック"/>
        <family val="2"/>
        <charset val="128"/>
      </rPr>
      <t>有償（</t>
    </r>
    <r>
      <rPr>
        <sz val="11"/>
        <color theme="1"/>
        <rFont val="Times New Roman"/>
        <family val="1"/>
      </rPr>
      <t xml:space="preserve">Commerical Value) </t>
    </r>
  </si>
  <si>
    <r>
      <rPr>
        <sz val="11"/>
        <color theme="1"/>
        <rFont val="ＭＳ Ｐゴシック"/>
        <family val="2"/>
        <charset val="128"/>
      </rPr>
      <t>無償（</t>
    </r>
    <r>
      <rPr>
        <sz val="11"/>
        <color theme="1"/>
        <rFont val="Times New Roman"/>
        <family val="1"/>
      </rPr>
      <t xml:space="preserve">No Commerical Value) </t>
    </r>
  </si>
  <si>
    <r>
      <rPr>
        <sz val="11"/>
        <color theme="1"/>
        <rFont val="ＭＳ Ｐゴシック"/>
        <family val="2"/>
        <charset val="128"/>
      </rPr>
      <t>贈物（</t>
    </r>
    <r>
      <rPr>
        <sz val="11"/>
        <color theme="1"/>
        <rFont val="Times New Roman"/>
        <family val="1"/>
      </rPr>
      <t>Gift)</t>
    </r>
  </si>
  <si>
    <r>
      <rPr>
        <sz val="11"/>
        <color theme="1"/>
        <rFont val="ＭＳ Ｐゴシック"/>
        <family val="2"/>
        <charset val="128"/>
      </rPr>
      <t>商品見本（</t>
    </r>
    <r>
      <rPr>
        <sz val="11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Sample, No Commercial Value</t>
    </r>
    <r>
      <rPr>
        <sz val="11"/>
        <color theme="1"/>
        <rFont val="Times New Roman"/>
        <family val="1"/>
      </rPr>
      <t xml:space="preserve"> )</t>
    </r>
  </si>
  <si>
    <r>
      <rPr>
        <sz val="11"/>
        <color theme="1"/>
        <rFont val="ＭＳ Ｐゴシック"/>
        <family val="2"/>
        <charset val="128"/>
      </rPr>
      <t>その他（</t>
    </r>
    <r>
      <rPr>
        <sz val="11"/>
        <color theme="1"/>
        <rFont val="Times New Roman"/>
        <family val="1"/>
      </rPr>
      <t>Other)</t>
    </r>
  </si>
  <si>
    <t>NENH WARD BAC NINH PROVINCE</t>
  </si>
  <si>
    <t>BACNINH VIETNAM</t>
  </si>
  <si>
    <t>LDBA093301-0</t>
  </si>
  <si>
    <t>PHC-2025100007</t>
  </si>
  <si>
    <t>PHC-2025100019</t>
  </si>
  <si>
    <t>PHC-2025100007
PHC-2025100019</t>
  </si>
  <si>
    <t>PHC-2025100063</t>
  </si>
  <si>
    <t>PHC-2025100063
PHC-2023060092</t>
  </si>
  <si>
    <t>PHC-2023060092</t>
  </si>
  <si>
    <t>PHC-2024070112</t>
  </si>
  <si>
    <t>PHC-2024090117</t>
  </si>
  <si>
    <t>インボイス作成日（Date): 24/11/2025</t>
  </si>
  <si>
    <t>Invoice No
[Invoice No]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</si>
</sst>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76" formatCode="_(* #,##0.00_);_(* \(#,##0.00\);_(* &quot;-&quot;??_);_(@_)"/>
    <numFmt numFmtId="177" formatCode="&quot;$&quot;\ \ \ 0.00"/>
    <numFmt numFmtId="178" formatCode="&quot;$&quot;\ \ \ 0.000"/>
    <numFmt numFmtId="179" formatCode="0\ \ \ &quot; pcs/Box&quot;"/>
    <numFmt numFmtId="180" formatCode="0.00\ &quot;kg&quot;"/>
    <numFmt numFmtId="181" formatCode="0.0\ &quot;g&quot;"/>
    <numFmt numFmtId="182" formatCode="000"/>
    <numFmt numFmtId="183" formatCode="0\ \ \ "/>
    <numFmt numFmtId="184" formatCode="0.0\ &quot;kg/巻&quot;"/>
    <numFmt numFmtId="185" formatCode="0.0\ &quot;kg&quot;"/>
    <numFmt numFmtId="186" formatCode="0\ \ \ &quot;m&quot;"/>
    <numFmt numFmtId="187" formatCode="0\ \ \ &quot;pcs&quot;"/>
    <numFmt numFmtId="188" formatCode="0\ \ &quot;Boxs&quot;"/>
    <numFmt numFmtId="189" formatCode="0\ \ \ &quot;Pallets&quot;"/>
    <numFmt numFmtId="190" formatCode="0\ \ &quot;kg&quot;"/>
    <numFmt numFmtId="191" formatCode="0\ \ &quot;pcs&quot;\ \ "/>
    <numFmt numFmtId="192" formatCode="0\ \ &quot;mm&quot;"/>
    <numFmt numFmtId="193" formatCode="0.0\ \ &quot;kg&quot;"/>
    <numFmt numFmtId="194" formatCode="0.00\ \ &quot;kg&quot;"/>
    <numFmt numFmtId="195" formatCode="0.0_ "/>
    <numFmt numFmtId="196" formatCode="0.00\ &quot;g&quot;"/>
    <numFmt numFmtId="197" formatCode="0.00\ &quot;CBM&quot;"/>
    <numFmt numFmtId="198" formatCode="0\ &quot;本迄&quot;"/>
    <numFmt numFmtId="199" formatCode="0\ &quot;pcs/Box&quot;"/>
    <numFmt numFmtId="200" formatCode="&quot;$&quot;\ 0.00"/>
    <numFmt numFmtId="201" formatCode="0\ &quot;Pallets&quot;"/>
    <numFmt numFmtId="202" formatCode="0\ &quot;Box&quot;"/>
    <numFmt numFmtId="203" formatCode="0\ &quot;Box/pallet&quot;"/>
    <numFmt numFmtId="204" formatCode="0\ &quot;Tầng&quot;"/>
    <numFmt numFmtId="205" formatCode="0.00\ &quot;Pallets&quot;"/>
    <numFmt numFmtId="206" formatCode="0.000"/>
    <numFmt numFmtId="207" formatCode="0.00\ \ "/>
  </numFmts>
  <fonts count="58">
    <font>
      <sz val="11"/>
      <color theme="1"/>
      <name val="ＭＳ Ｐゴシック"/>
      <family val="2"/>
      <charset val="128"/>
      <scheme val="major"/>
    </font>
    <font>
      <sz val="6"/>
      <name val="ＭＳ Ｐゴシック"/>
      <family val="2"/>
      <charset val="128"/>
      <scheme val="major"/>
    </font>
    <font>
      <b/>
      <sz val="11"/>
      <name val="Times New Roman"/>
      <family val="1"/>
    </font>
    <font>
      <sz val="6"/>
      <name val="ＭＳ Ｐゴシック"/>
      <family val="3"/>
      <charset val="128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6"/>
      <name val="ＭＳ Ｐゴシック"/>
      <family val="2"/>
      <charset val="128"/>
    </font>
    <font>
      <b/>
      <sz val="10"/>
      <name val="Times New Roman"/>
      <family val="1"/>
    </font>
    <font>
      <b/>
      <sz val="10"/>
      <name val="ＭＳ Ｐ明朝"/>
      <family val="1"/>
      <charset val="128"/>
    </font>
    <font>
      <b/>
      <u/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ゴシック"/>
      <family val="2"/>
      <charset val="128"/>
    </font>
    <font>
      <b/>
      <sz val="11"/>
      <color theme="1"/>
      <name val="Times New Roman"/>
      <family val="1"/>
    </font>
    <font>
      <b/>
      <sz val="11"/>
      <color theme="1"/>
      <name val="ＭＳ Ｐゴシック"/>
      <family val="3"/>
      <charset val="128"/>
    </font>
    <font>
      <sz val="9"/>
      <color theme="1"/>
      <name val="Times New Roman"/>
      <family val="1"/>
    </font>
    <font>
      <b/>
      <sz val="11"/>
      <name val="ＭＳ Ｐゴシック"/>
      <family val="2"/>
    </font>
    <font>
      <u/>
      <sz val="11"/>
      <color theme="1"/>
      <name val="Times New Roman"/>
      <family val="1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u/>
      <sz val="11"/>
      <name val="Times New Roman"/>
      <family val="1"/>
    </font>
    <font>
      <sz val="11"/>
      <color theme="1"/>
      <name val="ＭＳ Ｐゴシック"/>
      <family val="2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1"/>
      <color theme="1"/>
      <name val="HGKyokashotai"/>
      <family val="1"/>
      <charset val="128"/>
    </font>
    <font>
      <b/>
      <sz val="14"/>
      <name val="Times New Roman"/>
      <family val="1"/>
    </font>
    <font>
      <b/>
      <sz val="11"/>
      <name val="ＭＳ Ｐ明朝"/>
      <family val="1"/>
      <charset val="128"/>
    </font>
    <font>
      <sz val="12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name val="ＭＳ Ｐ明朝"/>
      <family val="1"/>
      <charset val="128"/>
    </font>
    <font>
      <sz val="10"/>
      <color theme="1"/>
      <name val="Times New Roman"/>
      <family val="1"/>
    </font>
    <font>
      <sz val="11"/>
      <color theme="1"/>
      <name val="Times New Roman"/>
      <family val="2"/>
    </font>
    <font>
      <b/>
      <sz val="30"/>
      <name val="Times New Roman"/>
      <family val="1"/>
    </font>
    <font>
      <b/>
      <sz val="20"/>
      <name val="Times New Roman"/>
      <family val="1"/>
    </font>
    <font>
      <b/>
      <sz val="22"/>
      <name val="Times New Roman"/>
      <family val="1"/>
    </font>
    <font>
      <sz val="22"/>
      <name val="Times New Roman"/>
      <family val="1"/>
    </font>
    <font>
      <sz val="22"/>
      <color theme="1"/>
      <name val="ＭＳ Ｐゴシック"/>
      <family val="2"/>
      <charset val="128"/>
      <scheme val="major"/>
    </font>
    <font>
      <b/>
      <sz val="11"/>
      <color theme="1"/>
      <name val="ＭＳ Ｐゴシック"/>
      <family val="2"/>
      <charset val="128"/>
    </font>
    <font>
      <b/>
      <sz val="11"/>
      <color theme="1"/>
      <name val="ＭＳ Ｐゴシック"/>
      <family val="2"/>
      <scheme val="major"/>
    </font>
    <font>
      <sz val="48"/>
      <color theme="1"/>
      <name val="ＭＳ Ｐゴシック"/>
      <family val="2"/>
      <charset val="128"/>
      <scheme val="major"/>
    </font>
    <font>
      <b/>
      <sz val="36"/>
      <color theme="1"/>
      <name val="ＭＳ Ｐゴシック"/>
      <family val="2"/>
      <scheme val="major"/>
    </font>
    <font>
      <sz val="48"/>
      <color theme="1"/>
      <name val="Calibri"/>
      <family val="2"/>
    </font>
    <font>
      <sz val="48"/>
      <color theme="1"/>
      <name val="ＭＳ Ｐゴシック"/>
      <family val="2"/>
      <scheme val="major"/>
    </font>
    <font>
      <sz val="48"/>
      <color theme="1"/>
      <name val="Calibri Light"/>
      <family val="2"/>
    </font>
    <font>
      <b/>
      <u/>
      <sz val="11"/>
      <name val="Times New Roman"/>
      <family val="2"/>
    </font>
    <font>
      <b/>
      <u/>
      <sz val="11"/>
      <name val="ＭＳ Ｐゴシック"/>
      <family val="2"/>
    </font>
    <font>
      <sz val="11"/>
      <color theme="1"/>
      <name val="Times New Roman"/>
      <family val="3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128"/>
    </font>
    <font>
      <sz val="8"/>
      <name val="ＭＳ Ｐゴシック"/>
      <family val="2"/>
      <charset val="128"/>
      <scheme val="major"/>
    </font>
    <font>
      <sz val="11"/>
      <color theme="1"/>
      <name val="ＭＳ Ｐゴシック"/>
      <family val="2"/>
      <charset val="128"/>
      <scheme val="major"/>
    </font>
    <font>
      <sz val="9"/>
      <color theme="1"/>
      <name val="ＭＳ Ｐゴシック"/>
      <family val="2"/>
      <charset val="128"/>
    </font>
    <font>
      <sz val="10.5"/>
      <color theme="1"/>
      <name val="Times New Roman"/>
      <family val="2"/>
    </font>
    <font>
      <sz val="11"/>
      <color theme="1"/>
      <name val="Wingdings 2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0" fillId="0" borderId="0">
      <alignment vertical="center"/>
    </xf>
    <xf numFmtId="38" fontId="20" fillId="0" borderId="0" applyFont="0" applyFill="0" applyBorder="0" applyAlignment="0" applyProtection="0">
      <alignment vertical="center"/>
    </xf>
    <xf numFmtId="0" fontId="26" fillId="0" borderId="0"/>
    <xf numFmtId="176" fontId="54" fillId="0" borderId="0" applyFont="0" applyFill="0" applyBorder="0" applyAlignment="0" applyProtection="0"/>
  </cellStyleXfs>
  <cellXfs count="48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2" fillId="0" borderId="27" xfId="0" applyFont="1" applyBorder="1">
      <alignment vertical="center"/>
    </xf>
    <xf numFmtId="0" fontId="14" fillId="0" borderId="15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20" xfId="0" applyFont="1" applyBorder="1">
      <alignment vertical="center"/>
    </xf>
    <xf numFmtId="0" fontId="12" fillId="0" borderId="24" xfId="0" applyFont="1" applyBorder="1">
      <alignment vertical="center"/>
    </xf>
    <xf numFmtId="0" fontId="12" fillId="0" borderId="2" xfId="0" applyFont="1" applyBorder="1">
      <alignment vertical="center"/>
    </xf>
    <xf numFmtId="0" fontId="2" fillId="0" borderId="25" xfId="0" applyFont="1" applyBorder="1">
      <alignment vertical="center"/>
    </xf>
    <xf numFmtId="0" fontId="12" fillId="0" borderId="6" xfId="0" applyFont="1" applyBorder="1">
      <alignment vertical="center"/>
    </xf>
    <xf numFmtId="0" fontId="5" fillId="0" borderId="20" xfId="0" applyFont="1" applyBorder="1">
      <alignment vertical="center"/>
    </xf>
    <xf numFmtId="0" fontId="12" fillId="0" borderId="21" xfId="0" applyFont="1" applyBorder="1">
      <alignment vertical="center"/>
    </xf>
    <xf numFmtId="0" fontId="12" fillId="0" borderId="30" xfId="0" applyFont="1" applyBorder="1">
      <alignment vertical="center"/>
    </xf>
    <xf numFmtId="0" fontId="18" fillId="0" borderId="0" xfId="0" applyFont="1">
      <alignment vertical="center"/>
    </xf>
    <xf numFmtId="0" fontId="4" fillId="0" borderId="0" xfId="1" applyFont="1">
      <alignment vertical="center"/>
    </xf>
    <xf numFmtId="0" fontId="2" fillId="0" borderId="24" xfId="0" applyFont="1" applyBorder="1">
      <alignment vertical="center"/>
    </xf>
    <xf numFmtId="0" fontId="4" fillId="0" borderId="2" xfId="0" applyFont="1" applyBorder="1">
      <alignment vertical="center"/>
    </xf>
    <xf numFmtId="0" fontId="12" fillId="0" borderId="4" xfId="0" applyFont="1" applyBorder="1">
      <alignment vertical="center"/>
    </xf>
    <xf numFmtId="0" fontId="12" fillId="0" borderId="22" xfId="0" applyFont="1" applyBorder="1">
      <alignment vertical="center"/>
    </xf>
    <xf numFmtId="0" fontId="2" fillId="0" borderId="0" xfId="0" applyFont="1" applyAlignment="1">
      <alignment vertical="top" wrapText="1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189" fontId="12" fillId="0" borderId="0" xfId="0" applyNumberFormat="1" applyFont="1" applyAlignment="1">
      <alignment horizontal="left" vertical="center"/>
    </xf>
    <xf numFmtId="186" fontId="12" fillId="0" borderId="0" xfId="0" applyNumberFormat="1" applyFont="1" applyAlignment="1">
      <alignment horizontal="left" vertical="center"/>
    </xf>
    <xf numFmtId="185" fontId="12" fillId="0" borderId="4" xfId="0" applyNumberFormat="1" applyFont="1" applyBorder="1" applyAlignment="1">
      <alignment horizontal="center" vertical="center"/>
    </xf>
    <xf numFmtId="194" fontId="12" fillId="0" borderId="4" xfId="0" applyNumberFormat="1" applyFont="1" applyBorder="1" applyAlignment="1">
      <alignment horizontal="center" vertical="center"/>
    </xf>
    <xf numFmtId="180" fontId="12" fillId="0" borderId="4" xfId="0" applyNumberFormat="1" applyFont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81" fontId="24" fillId="2" borderId="0" xfId="0" applyNumberFormat="1" applyFont="1" applyFill="1" applyAlignment="1">
      <alignment horizontal="center" vertical="center"/>
    </xf>
    <xf numFmtId="185" fontId="24" fillId="2" borderId="0" xfId="0" applyNumberFormat="1" applyFont="1" applyFill="1" applyAlignment="1">
      <alignment horizontal="center" vertical="center"/>
    </xf>
    <xf numFmtId="180" fontId="24" fillId="2" borderId="0" xfId="0" applyNumberFormat="1" applyFont="1" applyFill="1" applyAlignment="1">
      <alignment horizontal="center" vertical="center"/>
    </xf>
    <xf numFmtId="0" fontId="12" fillId="2" borderId="0" xfId="0" applyFont="1" applyFill="1">
      <alignment vertical="center"/>
    </xf>
    <xf numFmtId="0" fontId="1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99" fontId="12" fillId="0" borderId="4" xfId="0" applyNumberFormat="1" applyFont="1" applyBorder="1" applyAlignment="1">
      <alignment horizontal="center" vertical="center"/>
    </xf>
    <xf numFmtId="198" fontId="12" fillId="0" borderId="0" xfId="0" applyNumberFormat="1" applyFo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1" xfId="0" applyFont="1" applyBorder="1">
      <alignment vertical="center"/>
    </xf>
    <xf numFmtId="0" fontId="28" fillId="0" borderId="20" xfId="0" applyFont="1" applyBorder="1">
      <alignment vertical="center"/>
    </xf>
    <xf numFmtId="0" fontId="27" fillId="3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11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/>
    </xf>
    <xf numFmtId="3" fontId="25" fillId="0" borderId="11" xfId="0" applyNumberFormat="1" applyFont="1" applyBorder="1" applyAlignment="1">
      <alignment horizontal="left"/>
    </xf>
    <xf numFmtId="200" fontId="30" fillId="0" borderId="4" xfId="0" applyNumberFormat="1" applyFont="1" applyBorder="1" applyAlignment="1">
      <alignment horizontal="center" vertical="center" wrapText="1"/>
    </xf>
    <xf numFmtId="200" fontId="30" fillId="0" borderId="4" xfId="0" applyNumberFormat="1" applyFont="1" applyBorder="1" applyAlignment="1">
      <alignment horizontal="center" vertical="center"/>
    </xf>
    <xf numFmtId="200" fontId="25" fillId="0" borderId="4" xfId="0" applyNumberFormat="1" applyFont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/>
      <protection locked="0"/>
    </xf>
    <xf numFmtId="0" fontId="25" fillId="4" borderId="4" xfId="0" applyFont="1" applyFill="1" applyBorder="1" applyAlignment="1" applyProtection="1">
      <alignment horizontal="center" vertical="center"/>
      <protection locked="0"/>
    </xf>
    <xf numFmtId="0" fontId="12" fillId="0" borderId="17" xfId="0" applyFont="1" applyBorder="1">
      <alignment vertical="center"/>
    </xf>
    <xf numFmtId="0" fontId="12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31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12" fillId="0" borderId="7" xfId="0" applyFont="1" applyBorder="1">
      <alignment vertical="center"/>
    </xf>
    <xf numFmtId="0" fontId="12" fillId="0" borderId="8" xfId="0" applyFont="1" applyBorder="1">
      <alignment vertical="center"/>
    </xf>
    <xf numFmtId="195" fontId="12" fillId="0" borderId="0" xfId="0" applyNumberFormat="1" applyFont="1">
      <alignment vertical="center"/>
    </xf>
    <xf numFmtId="0" fontId="32" fillId="0" borderId="20" xfId="0" applyFont="1" applyBorder="1">
      <alignment vertical="center"/>
    </xf>
    <xf numFmtId="0" fontId="12" fillId="2" borderId="0" xfId="0" applyFont="1" applyFill="1" applyAlignment="1">
      <alignment horizontal="center" vertical="center"/>
    </xf>
    <xf numFmtId="181" fontId="12" fillId="2" borderId="0" xfId="0" applyNumberFormat="1" applyFont="1" applyFill="1" applyAlignment="1">
      <alignment horizontal="center" vertical="center"/>
    </xf>
    <xf numFmtId="183" fontId="12" fillId="2" borderId="0" xfId="0" applyNumberFormat="1" applyFont="1" applyFill="1" applyAlignment="1">
      <alignment horizontal="center" vertical="center"/>
    </xf>
    <xf numFmtId="185" fontId="12" fillId="2" borderId="0" xfId="0" applyNumberFormat="1" applyFont="1" applyFill="1" applyAlignment="1">
      <alignment horizontal="center" vertical="center"/>
    </xf>
    <xf numFmtId="180" fontId="12" fillId="2" borderId="0" xfId="0" applyNumberFormat="1" applyFont="1" applyFill="1" applyAlignment="1">
      <alignment horizontal="center" vertical="center"/>
    </xf>
    <xf numFmtId="184" fontId="12" fillId="0" borderId="0" xfId="0" applyNumberFormat="1" applyFont="1" applyAlignment="1">
      <alignment horizontal="center" vertical="center"/>
    </xf>
    <xf numFmtId="185" fontId="12" fillId="0" borderId="0" xfId="0" applyNumberFormat="1" applyFont="1" applyAlignment="1">
      <alignment horizontal="center" vertical="center"/>
    </xf>
    <xf numFmtId="190" fontId="12" fillId="0" borderId="0" xfId="0" applyNumberFormat="1" applyFont="1" applyAlignment="1">
      <alignment horizontal="center" vertical="center"/>
    </xf>
    <xf numFmtId="194" fontId="12" fillId="0" borderId="0" xfId="0" applyNumberFormat="1" applyFont="1" applyAlignment="1">
      <alignment horizontal="center" vertical="center"/>
    </xf>
    <xf numFmtId="193" fontId="12" fillId="0" borderId="0" xfId="0" applyNumberFormat="1" applyFont="1">
      <alignment vertical="center"/>
    </xf>
    <xf numFmtId="180" fontId="12" fillId="0" borderId="0" xfId="0" applyNumberFormat="1" applyFont="1" applyAlignment="1">
      <alignment horizontal="center" vertical="center"/>
    </xf>
    <xf numFmtId="192" fontId="12" fillId="0" borderId="0" xfId="0" applyNumberFormat="1" applyFont="1">
      <alignment vertical="center"/>
    </xf>
    <xf numFmtId="196" fontId="12" fillId="0" borderId="0" xfId="0" applyNumberFormat="1" applyFont="1" applyAlignment="1">
      <alignment horizontal="center" vertical="center"/>
    </xf>
    <xf numFmtId="182" fontId="12" fillId="0" borderId="0" xfId="0" applyNumberFormat="1" applyFont="1" applyAlignment="1">
      <alignment horizontal="center" vertical="center"/>
    </xf>
    <xf numFmtId="191" fontId="34" fillId="0" borderId="0" xfId="0" applyNumberFormat="1" applyFont="1" applyAlignment="1">
      <alignment horizontal="left" vertical="center"/>
    </xf>
    <xf numFmtId="201" fontId="12" fillId="0" borderId="0" xfId="0" applyNumberFormat="1" applyFont="1" applyAlignment="1">
      <alignment horizontal="right" vertical="center"/>
    </xf>
    <xf numFmtId="197" fontId="12" fillId="0" borderId="0" xfId="0" applyNumberFormat="1" applyFont="1" applyAlignment="1">
      <alignment horizontal="left" vertical="center"/>
    </xf>
    <xf numFmtId="0" fontId="34" fillId="0" borderId="20" xfId="0" applyFont="1" applyBorder="1">
      <alignment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202" fontId="12" fillId="0" borderId="4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203" fontId="12" fillId="0" borderId="4" xfId="0" applyNumberFormat="1" applyFont="1" applyBorder="1" applyAlignment="1">
      <alignment horizontal="center" vertical="center"/>
    </xf>
    <xf numFmtId="204" fontId="0" fillId="0" borderId="4" xfId="0" applyNumberFormat="1" applyBorder="1" applyAlignment="1">
      <alignment horizontal="center" vertical="center"/>
    </xf>
    <xf numFmtId="0" fontId="42" fillId="0" borderId="4" xfId="0" applyFont="1" applyBorder="1">
      <alignment vertical="center"/>
    </xf>
    <xf numFmtId="0" fontId="42" fillId="0" borderId="4" xfId="0" applyFont="1" applyBorder="1" applyAlignment="1">
      <alignment horizontal="center" vertical="center"/>
    </xf>
    <xf numFmtId="1" fontId="30" fillId="0" borderId="11" xfId="0" applyNumberFormat="1" applyFont="1" applyBorder="1" applyAlignment="1">
      <alignment horizontal="left" vertical="center" wrapText="1"/>
    </xf>
    <xf numFmtId="205" fontId="0" fillId="0" borderId="0" xfId="0" applyNumberFormat="1">
      <alignment vertical="center"/>
    </xf>
    <xf numFmtId="0" fontId="12" fillId="0" borderId="29" xfId="0" applyFont="1" applyBorder="1">
      <alignment vertical="center"/>
    </xf>
    <xf numFmtId="0" fontId="12" fillId="0" borderId="50" xfId="0" applyFont="1" applyBorder="1">
      <alignment vertical="center"/>
    </xf>
    <xf numFmtId="0" fontId="4" fillId="0" borderId="20" xfId="1" applyFont="1" applyBorder="1" applyAlignment="1">
      <alignment horizontal="center" vertical="center"/>
    </xf>
    <xf numFmtId="187" fontId="12" fillId="0" borderId="0" xfId="0" applyNumberFormat="1" applyFont="1" applyAlignment="1">
      <alignment horizontal="center" vertical="center"/>
    </xf>
    <xf numFmtId="0" fontId="24" fillId="2" borderId="21" xfId="0" applyFont="1" applyFill="1" applyBorder="1" applyAlignment="1">
      <alignment horizontal="center" vertical="center"/>
    </xf>
    <xf numFmtId="0" fontId="8" fillId="0" borderId="22" xfId="0" applyFont="1" applyBorder="1" applyAlignment="1">
      <alignment vertical="top" wrapText="1"/>
    </xf>
    <xf numFmtId="0" fontId="30" fillId="0" borderId="4" xfId="0" applyFont="1" applyBorder="1" applyAlignment="1">
      <alignment horizontal="left" vertical="center" wrapText="1"/>
    </xf>
    <xf numFmtId="0" fontId="4" fillId="2" borderId="10" xfId="3" applyFont="1" applyFill="1" applyBorder="1" applyAlignment="1">
      <alignment vertical="center" wrapText="1"/>
    </xf>
    <xf numFmtId="0" fontId="30" fillId="2" borderId="4" xfId="3" applyFont="1" applyFill="1" applyBorder="1" applyAlignment="1">
      <alignment vertical="center" wrapText="1"/>
    </xf>
    <xf numFmtId="0" fontId="25" fillId="0" borderId="4" xfId="0" applyFont="1" applyBorder="1" applyAlignment="1">
      <alignment horizontal="center" vertical="center"/>
    </xf>
    <xf numFmtId="200" fontId="25" fillId="3" borderId="4" xfId="0" applyNumberFormat="1" applyFont="1" applyFill="1" applyBorder="1" applyAlignment="1">
      <alignment horizontal="center"/>
    </xf>
    <xf numFmtId="0" fontId="25" fillId="3" borderId="4" xfId="0" applyFont="1" applyFill="1" applyBorder="1" applyAlignment="1" applyProtection="1">
      <alignment horizontal="center" vertical="center"/>
      <protection locked="0"/>
    </xf>
    <xf numFmtId="199" fontId="12" fillId="3" borderId="4" xfId="0" applyNumberFormat="1" applyFont="1" applyFill="1" applyBorder="1" applyAlignment="1">
      <alignment horizontal="center" vertical="center"/>
    </xf>
    <xf numFmtId="180" fontId="12" fillId="3" borderId="4" xfId="0" applyNumberFormat="1" applyFont="1" applyFill="1" applyBorder="1" applyAlignment="1">
      <alignment horizontal="center" vertical="center"/>
    </xf>
    <xf numFmtId="194" fontId="12" fillId="3" borderId="4" xfId="0" applyNumberFormat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200" fontId="30" fillId="3" borderId="4" xfId="0" applyNumberFormat="1" applyFont="1" applyFill="1" applyBorder="1" applyAlignment="1">
      <alignment horizontal="center" vertical="center" wrapText="1"/>
    </xf>
    <xf numFmtId="0" fontId="25" fillId="5" borderId="4" xfId="0" applyFont="1" applyFill="1" applyBorder="1" applyAlignment="1" applyProtection="1">
      <alignment horizontal="center" vertical="center"/>
      <protection locked="0"/>
    </xf>
    <xf numFmtId="199" fontId="12" fillId="5" borderId="4" xfId="0" applyNumberFormat="1" applyFont="1" applyFill="1" applyBorder="1" applyAlignment="1">
      <alignment horizontal="center" vertical="center"/>
    </xf>
    <xf numFmtId="180" fontId="12" fillId="5" borderId="4" xfId="0" applyNumberFormat="1" applyFont="1" applyFill="1" applyBorder="1" applyAlignment="1">
      <alignment horizontal="center" vertical="center"/>
    </xf>
    <xf numFmtId="194" fontId="12" fillId="5" borderId="4" xfId="0" applyNumberFormat="1" applyFont="1" applyFill="1" applyBorder="1" applyAlignment="1">
      <alignment horizontal="center" vertical="center"/>
    </xf>
    <xf numFmtId="0" fontId="12" fillId="5" borderId="0" xfId="0" applyFont="1" applyFill="1">
      <alignment vertical="center"/>
    </xf>
    <xf numFmtId="200" fontId="25" fillId="5" borderId="4" xfId="0" applyNumberFormat="1" applyFont="1" applyFill="1" applyBorder="1" applyAlignment="1">
      <alignment horizontal="center"/>
    </xf>
    <xf numFmtId="0" fontId="25" fillId="5" borderId="4" xfId="0" applyFont="1" applyFill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vertical="top" wrapText="1"/>
    </xf>
    <xf numFmtId="0" fontId="12" fillId="0" borderId="37" xfId="0" applyFont="1" applyBorder="1" applyAlignment="1">
      <alignment vertical="top"/>
    </xf>
    <xf numFmtId="180" fontId="12" fillId="0" borderId="4" xfId="0" applyNumberFormat="1" applyFont="1" applyBorder="1">
      <alignment vertical="center"/>
    </xf>
    <xf numFmtId="0" fontId="12" fillId="2" borderId="13" xfId="0" applyFont="1" applyFill="1" applyBorder="1">
      <alignment vertical="center"/>
    </xf>
    <xf numFmtId="0" fontId="25" fillId="0" borderId="35" xfId="0" applyFont="1" applyBorder="1" applyAlignment="1" applyProtection="1">
      <alignment horizontal="center" vertical="center"/>
      <protection locked="0"/>
    </xf>
    <xf numFmtId="0" fontId="12" fillId="2" borderId="4" xfId="0" applyFont="1" applyFill="1" applyBorder="1">
      <alignment vertical="center"/>
    </xf>
    <xf numFmtId="0" fontId="50" fillId="0" borderId="0" xfId="0" applyFont="1">
      <alignment vertical="center"/>
    </xf>
    <xf numFmtId="0" fontId="2" fillId="0" borderId="0" xfId="1" applyFont="1" applyAlignment="1">
      <alignment horizontal="left" vertical="center"/>
    </xf>
    <xf numFmtId="0" fontId="12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12" fillId="0" borderId="3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0" fillId="0" borderId="0" xfId="1" applyFont="1" applyAlignment="1">
      <alignment horizontal="left" vertical="center"/>
    </xf>
    <xf numFmtId="0" fontId="22" fillId="0" borderId="0" xfId="1" applyFont="1" applyAlignment="1">
      <alignment horizontal="left" vertical="center"/>
    </xf>
    <xf numFmtId="0" fontId="43" fillId="0" borderId="0" xfId="0" applyFont="1" applyAlignment="1">
      <alignment horizontal="center" vertical="center" wrapText="1"/>
    </xf>
    <xf numFmtId="0" fontId="2" fillId="0" borderId="0" xfId="1" applyFont="1">
      <alignment vertical="center"/>
    </xf>
    <xf numFmtId="197" fontId="12" fillId="0" borderId="0" xfId="0" applyNumberFormat="1" applyFont="1" applyAlignment="1">
      <alignment horizontal="center" vertical="center"/>
    </xf>
    <xf numFmtId="180" fontId="12" fillId="0" borderId="36" xfId="0" applyNumberFormat="1" applyFont="1" applyBorder="1">
      <alignment vertical="center"/>
    </xf>
    <xf numFmtId="0" fontId="12" fillId="2" borderId="52" xfId="0" applyFont="1" applyFill="1" applyBorder="1">
      <alignment vertical="center"/>
    </xf>
    <xf numFmtId="0" fontId="51" fillId="0" borderId="10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1" fontId="12" fillId="0" borderId="4" xfId="0" applyNumberFormat="1" applyFont="1" applyBorder="1">
      <alignment vertical="center"/>
    </xf>
    <xf numFmtId="1" fontId="12" fillId="2" borderId="4" xfId="0" applyNumberFormat="1" applyFont="1" applyFill="1" applyBorder="1" applyAlignment="1">
      <alignment horizontal="center" vertical="center"/>
    </xf>
    <xf numFmtId="0" fontId="51" fillId="2" borderId="0" xfId="0" applyFont="1" applyFill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16" fillId="0" borderId="8" xfId="0" applyFont="1" applyBorder="1">
      <alignment vertical="center"/>
    </xf>
    <xf numFmtId="0" fontId="52" fillId="0" borderId="0" xfId="0" applyFont="1">
      <alignment vertical="center"/>
    </xf>
    <xf numFmtId="0" fontId="56" fillId="0" borderId="0" xfId="0" applyFont="1">
      <alignment vertical="center"/>
    </xf>
    <xf numFmtId="206" fontId="12" fillId="0" borderId="0" xfId="0" applyNumberFormat="1" applyFont="1">
      <alignment vertical="center"/>
    </xf>
    <xf numFmtId="176" fontId="12" fillId="0" borderId="4" xfId="4" applyFont="1" applyBorder="1" applyAlignment="1">
      <alignment horizontal="center" vertical="center"/>
    </xf>
    <xf numFmtId="180" fontId="12" fillId="2" borderId="36" xfId="0" applyNumberFormat="1" applyFont="1" applyFill="1" applyBorder="1">
      <alignment vertical="center"/>
    </xf>
    <xf numFmtId="1" fontId="12" fillId="0" borderId="13" xfId="0" applyNumberFormat="1" applyFont="1" applyBorder="1" applyAlignment="1">
      <alignment horizontal="center" vertical="center"/>
    </xf>
    <xf numFmtId="1" fontId="12" fillId="2" borderId="4" xfId="0" applyNumberFormat="1" applyFont="1" applyFill="1" applyBorder="1">
      <alignment vertical="center"/>
    </xf>
    <xf numFmtId="0" fontId="25" fillId="6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 wrapText="1"/>
    </xf>
    <xf numFmtId="0" fontId="12" fillId="2" borderId="52" xfId="0" applyFont="1" applyFill="1" applyBorder="1" applyAlignment="1">
      <alignment horizontal="center" vertical="center" wrapText="1"/>
    </xf>
    <xf numFmtId="200" fontId="30" fillId="2" borderId="4" xfId="0" applyNumberFormat="1" applyFont="1" applyFill="1" applyBorder="1" applyAlignment="1">
      <alignment horizontal="center" vertical="center" wrapText="1"/>
    </xf>
    <xf numFmtId="200" fontId="25" fillId="2" borderId="4" xfId="0" applyNumberFormat="1" applyFont="1" applyFill="1" applyBorder="1" applyAlignment="1">
      <alignment horizontal="center"/>
    </xf>
    <xf numFmtId="0" fontId="30" fillId="2" borderId="4" xfId="0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left" vertical="center" wrapText="1"/>
    </xf>
    <xf numFmtId="3" fontId="25" fillId="2" borderId="11" xfId="0" applyNumberFormat="1" applyFont="1" applyFill="1" applyBorder="1" applyAlignment="1">
      <alignment horizontal="left"/>
    </xf>
    <xf numFmtId="0" fontId="12" fillId="2" borderId="10" xfId="0" applyFont="1" applyFill="1" applyBorder="1" applyAlignment="1">
      <alignment vertical="center" wrapText="1"/>
    </xf>
    <xf numFmtId="0" fontId="25" fillId="2" borderId="4" xfId="0" applyFont="1" applyFill="1" applyBorder="1" applyAlignment="1">
      <alignment vertical="center" wrapText="1"/>
    </xf>
    <xf numFmtId="0" fontId="30" fillId="2" borderId="4" xfId="0" applyFont="1" applyFill="1" applyBorder="1" applyAlignment="1">
      <alignment horizontal="left" vertical="center" wrapText="1"/>
    </xf>
    <xf numFmtId="0" fontId="4" fillId="2" borderId="4" xfId="3" applyFont="1" applyFill="1" applyBorder="1" applyAlignment="1">
      <alignment vertical="center" wrapText="1"/>
    </xf>
    <xf numFmtId="200" fontId="30" fillId="3" borderId="4" xfId="0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 vertical="center"/>
    </xf>
    <xf numFmtId="0" fontId="14" fillId="2" borderId="15" xfId="0" applyFont="1" applyFill="1" applyBorder="1">
      <alignment vertical="center"/>
    </xf>
    <xf numFmtId="0" fontId="12" fillId="2" borderId="16" xfId="0" applyFont="1" applyFill="1" applyBorder="1">
      <alignment vertical="center"/>
    </xf>
    <xf numFmtId="0" fontId="2" fillId="2" borderId="17" xfId="0" applyFont="1" applyFill="1" applyBorder="1" applyAlignment="1">
      <alignment vertical="top" wrapText="1"/>
    </xf>
    <xf numFmtId="0" fontId="12" fillId="2" borderId="21" xfId="0" applyFont="1" applyFill="1" applyBorder="1">
      <alignment vertical="center"/>
    </xf>
    <xf numFmtId="0" fontId="12" fillId="2" borderId="20" xfId="0" applyFont="1" applyFill="1" applyBorder="1">
      <alignment vertical="center"/>
    </xf>
    <xf numFmtId="0" fontId="2" fillId="2" borderId="1" xfId="0" applyFont="1" applyFill="1" applyBorder="1" applyAlignment="1">
      <alignment vertical="top" wrapText="1"/>
    </xf>
    <xf numFmtId="0" fontId="28" fillId="2" borderId="20" xfId="0" applyFont="1" applyFill="1" applyBorder="1">
      <alignment vertical="center"/>
    </xf>
    <xf numFmtId="0" fontId="5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4" fillId="2" borderId="20" xfId="0" applyFont="1" applyFill="1" applyBorder="1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14" fillId="2" borderId="0" xfId="0" applyFont="1" applyFill="1">
      <alignment vertical="center"/>
    </xf>
    <xf numFmtId="0" fontId="14" fillId="2" borderId="0" xfId="0" applyFont="1" applyFill="1" applyAlignment="1">
      <alignment horizontal="center" vertical="center"/>
    </xf>
    <xf numFmtId="0" fontId="12" fillId="2" borderId="24" xfId="0" applyFont="1" applyFill="1" applyBorder="1">
      <alignment vertical="center"/>
    </xf>
    <xf numFmtId="0" fontId="12" fillId="2" borderId="2" xfId="0" applyFont="1" applyFill="1" applyBorder="1">
      <alignment vertical="center"/>
    </xf>
    <xf numFmtId="0" fontId="2" fillId="2" borderId="3" xfId="0" applyFont="1" applyFill="1" applyBorder="1" applyAlignment="1">
      <alignment vertical="top" wrapText="1"/>
    </xf>
    <xf numFmtId="0" fontId="2" fillId="2" borderId="25" xfId="0" applyFont="1" applyFill="1" applyBorder="1">
      <alignment vertical="center"/>
    </xf>
    <xf numFmtId="0" fontId="12" fillId="2" borderId="6" xfId="0" applyFont="1" applyFill="1" applyBorder="1">
      <alignment vertical="center"/>
    </xf>
    <xf numFmtId="0" fontId="5" fillId="2" borderId="20" xfId="0" applyFont="1" applyFill="1" applyBorder="1">
      <alignment vertical="center"/>
    </xf>
    <xf numFmtId="0" fontId="2" fillId="2" borderId="0" xfId="0" applyFont="1" applyFill="1" applyAlignment="1">
      <alignment vertical="top" wrapText="1"/>
    </xf>
    <xf numFmtId="0" fontId="12" fillId="2" borderId="22" xfId="0" applyFont="1" applyFill="1" applyBorder="1">
      <alignment vertical="center"/>
    </xf>
    <xf numFmtId="0" fontId="32" fillId="2" borderId="2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24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12" fillId="2" borderId="8" xfId="0" applyFont="1" applyFill="1" applyBorder="1">
      <alignment vertical="center"/>
    </xf>
    <xf numFmtId="0" fontId="12" fillId="2" borderId="29" xfId="0" applyFont="1" applyFill="1" applyBorder="1">
      <alignment vertical="center"/>
    </xf>
    <xf numFmtId="0" fontId="12" fillId="2" borderId="27" xfId="0" applyFont="1" applyFill="1" applyBorder="1">
      <alignment vertical="center"/>
    </xf>
    <xf numFmtId="0" fontId="12" fillId="2" borderId="30" xfId="0" applyFont="1" applyFill="1" applyBorder="1">
      <alignment vertical="center"/>
    </xf>
    <xf numFmtId="0" fontId="4" fillId="2" borderId="20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Continuous" vertical="distributed"/>
    </xf>
    <xf numFmtId="180" fontId="12" fillId="2" borderId="4" xfId="0" applyNumberFormat="1" applyFont="1" applyFill="1" applyBorder="1">
      <alignment vertical="center"/>
    </xf>
    <xf numFmtId="0" fontId="10" fillId="2" borderId="0" xfId="0" applyFont="1" applyFill="1">
      <alignment vertical="center"/>
    </xf>
    <xf numFmtId="187" fontId="12" fillId="2" borderId="0" xfId="0" applyNumberFormat="1" applyFont="1" applyFill="1" applyAlignment="1">
      <alignment horizontal="center" vertical="center"/>
    </xf>
    <xf numFmtId="191" fontId="34" fillId="2" borderId="0" xfId="0" applyNumberFormat="1" applyFont="1" applyFill="1" applyAlignment="1">
      <alignment horizontal="left" vertical="center"/>
    </xf>
    <xf numFmtId="186" fontId="12" fillId="2" borderId="0" xfId="0" applyNumberFormat="1" applyFont="1" applyFill="1" applyAlignment="1">
      <alignment horizontal="left" vertical="center"/>
    </xf>
    <xf numFmtId="201" fontId="12" fillId="2" borderId="0" xfId="0" applyNumberFormat="1" applyFont="1" applyFill="1" applyAlignment="1">
      <alignment horizontal="right" vertical="center"/>
    </xf>
    <xf numFmtId="189" fontId="12" fillId="2" borderId="0" xfId="0" applyNumberFormat="1" applyFont="1" applyFill="1" applyAlignment="1">
      <alignment horizontal="left" vertical="center"/>
    </xf>
    <xf numFmtId="0" fontId="18" fillId="2" borderId="0" xfId="0" applyFont="1" applyFill="1">
      <alignment vertical="center"/>
    </xf>
    <xf numFmtId="197" fontId="12" fillId="2" borderId="0" xfId="0" applyNumberFormat="1" applyFont="1" applyFill="1" applyAlignment="1">
      <alignment horizontal="center" vertical="center"/>
    </xf>
    <xf numFmtId="197" fontId="12" fillId="2" borderId="0" xfId="0" applyNumberFormat="1" applyFont="1" applyFill="1" applyAlignment="1">
      <alignment horizontal="left" vertical="center"/>
    </xf>
    <xf numFmtId="0" fontId="50" fillId="2" borderId="0" xfId="0" applyFont="1" applyFill="1">
      <alignment vertical="center"/>
    </xf>
    <xf numFmtId="0" fontId="22" fillId="2" borderId="0" xfId="1" applyFont="1" applyFill="1" applyAlignment="1">
      <alignment horizontal="left" vertical="center"/>
    </xf>
    <xf numFmtId="195" fontId="12" fillId="2" borderId="0" xfId="0" applyNumberFormat="1" applyFont="1" applyFill="1">
      <alignment vertical="center"/>
    </xf>
    <xf numFmtId="184" fontId="12" fillId="2" borderId="0" xfId="0" applyNumberFormat="1" applyFont="1" applyFill="1" applyAlignment="1">
      <alignment horizontal="center" vertical="center"/>
    </xf>
    <xf numFmtId="190" fontId="12" fillId="2" borderId="0" xfId="0" applyNumberFormat="1" applyFont="1" applyFill="1" applyAlignment="1">
      <alignment horizontal="center" vertical="center"/>
    </xf>
    <xf numFmtId="194" fontId="12" fillId="2" borderId="0" xfId="0" applyNumberFormat="1" applyFont="1" applyFill="1" applyAlignment="1">
      <alignment horizontal="center" vertical="center"/>
    </xf>
    <xf numFmtId="193" fontId="12" fillId="2" borderId="0" xfId="0" applyNumberFormat="1" applyFont="1" applyFill="1">
      <alignment vertical="center"/>
    </xf>
    <xf numFmtId="192" fontId="12" fillId="2" borderId="0" xfId="0" applyNumberFormat="1" applyFont="1" applyFill="1">
      <alignment vertical="center"/>
    </xf>
    <xf numFmtId="196" fontId="12" fillId="2" borderId="0" xfId="0" applyNumberFormat="1" applyFont="1" applyFill="1" applyAlignment="1">
      <alignment horizontal="center" vertical="center"/>
    </xf>
    <xf numFmtId="182" fontId="12" fillId="2" borderId="0" xfId="0" applyNumberFormat="1" applyFont="1" applyFill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52" fillId="0" borderId="8" xfId="0" applyFont="1" applyBorder="1">
      <alignment vertical="center"/>
    </xf>
    <xf numFmtId="0" fontId="52" fillId="0" borderId="4" xfId="0" applyFont="1" applyBorder="1">
      <alignment vertical="center"/>
    </xf>
    <xf numFmtId="0" fontId="12" fillId="2" borderId="5" xfId="0" applyFont="1" applyFill="1" applyBorder="1">
      <alignment vertical="center"/>
    </xf>
    <xf numFmtId="179" fontId="12" fillId="2" borderId="10" xfId="0" applyNumberFormat="1" applyFont="1" applyFill="1" applyBorder="1" applyAlignment="1">
      <alignment horizontal="center" vertical="center"/>
    </xf>
    <xf numFmtId="179" fontId="12" fillId="2" borderId="11" xfId="0" applyNumberFormat="1" applyFont="1" applyFill="1" applyBorder="1" applyAlignment="1">
      <alignment horizontal="center" vertical="center"/>
    </xf>
    <xf numFmtId="176" fontId="12" fillId="2" borderId="0" xfId="4" applyFont="1" applyFill="1" applyBorder="1" applyAlignment="1">
      <alignment vertical="center"/>
    </xf>
    <xf numFmtId="0" fontId="25" fillId="2" borderId="0" xfId="0" applyFont="1" applyFill="1" applyAlignment="1" applyProtection="1">
      <alignment horizontal="center" vertical="center"/>
      <protection locked="0"/>
    </xf>
    <xf numFmtId="206" fontId="12" fillId="2" borderId="0" xfId="0" applyNumberFormat="1" applyFont="1" applyFill="1">
      <alignment vertical="center"/>
    </xf>
    <xf numFmtId="2" fontId="12" fillId="2" borderId="0" xfId="0" applyNumberFormat="1" applyFont="1" applyFill="1">
      <alignment vertical="center"/>
    </xf>
    <xf numFmtId="0" fontId="8" fillId="2" borderId="0" xfId="0" applyFont="1" applyFill="1" applyAlignment="1">
      <alignment vertical="top" wrapText="1"/>
    </xf>
    <xf numFmtId="0" fontId="12" fillId="2" borderId="0" xfId="0" applyFont="1" applyFill="1" applyAlignment="1">
      <alignment vertical="top"/>
    </xf>
    <xf numFmtId="0" fontId="12" fillId="0" borderId="0" xfId="0" applyFont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207" fontId="12" fillId="2" borderId="4" xfId="0" applyNumberFormat="1" applyFont="1" applyFill="1" applyBorder="1" applyAlignment="1">
      <alignment horizontal="center" vertical="center"/>
    </xf>
    <xf numFmtId="207" fontId="12" fillId="2" borderId="3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21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/>
    </xf>
    <xf numFmtId="0" fontId="12" fillId="0" borderId="37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4" fillId="0" borderId="20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26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9" xfId="1" applyFont="1" applyBorder="1" applyAlignment="1">
      <alignment horizontal="left" vertical="center"/>
    </xf>
    <xf numFmtId="0" fontId="4" fillId="0" borderId="40" xfId="1" applyFont="1" applyBorder="1" applyAlignment="1">
      <alignment horizontal="left" vertical="center"/>
    </xf>
    <xf numFmtId="0" fontId="4" fillId="0" borderId="49" xfId="1" applyFont="1" applyBorder="1" applyAlignment="1">
      <alignment horizontal="left" vertical="center"/>
    </xf>
    <xf numFmtId="0" fontId="4" fillId="0" borderId="47" xfId="1" applyFont="1" applyBorder="1" applyAlignment="1">
      <alignment horizontal="center" vertical="center"/>
    </xf>
    <xf numFmtId="0" fontId="4" fillId="0" borderId="48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52" fillId="0" borderId="32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22" fillId="2" borderId="0" xfId="1" applyFont="1" applyFill="1" applyAlignment="1">
      <alignment horizontal="left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88" fontId="14" fillId="2" borderId="13" xfId="0" applyNumberFormat="1" applyFont="1" applyFill="1" applyBorder="1" applyAlignment="1">
      <alignment horizontal="center" vertical="center"/>
    </xf>
    <xf numFmtId="188" fontId="14" fillId="2" borderId="45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33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8" fillId="2" borderId="4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20" xfId="0" applyFont="1" applyFill="1" applyBorder="1">
      <alignment vertical="center"/>
    </xf>
    <xf numFmtId="0" fontId="4" fillId="2" borderId="0" xfId="0" applyFont="1" applyFill="1">
      <alignment vertical="center"/>
    </xf>
    <xf numFmtId="0" fontId="16" fillId="2" borderId="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right" vertical="center"/>
    </xf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12" fillId="2" borderId="5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top"/>
    </xf>
    <xf numFmtId="0" fontId="12" fillId="2" borderId="12" xfId="0" applyFont="1" applyFill="1" applyBorder="1" applyAlignment="1">
      <alignment horizontal="center" vertical="top"/>
    </xf>
    <xf numFmtId="0" fontId="12" fillId="2" borderId="11" xfId="0" applyFont="1" applyFill="1" applyBorder="1" applyAlignment="1">
      <alignment horizontal="center" vertical="top"/>
    </xf>
    <xf numFmtId="180" fontId="14" fillId="2" borderId="0" xfId="0" applyNumberFormat="1" applyFont="1" applyFill="1" applyAlignment="1">
      <alignment horizontal="center" vertical="center"/>
    </xf>
    <xf numFmtId="0" fontId="12" fillId="2" borderId="1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79" fontId="12" fillId="2" borderId="10" xfId="0" applyNumberFormat="1" applyFont="1" applyFill="1" applyBorder="1" applyAlignment="1">
      <alignment horizontal="center" vertical="center"/>
    </xf>
    <xf numFmtId="179" fontId="12" fillId="2" borderId="11" xfId="0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1" fontId="12" fillId="2" borderId="43" xfId="0" applyNumberFormat="1" applyFont="1" applyFill="1" applyBorder="1" applyAlignment="1">
      <alignment horizontal="center" vertical="center"/>
    </xf>
    <xf numFmtId="1" fontId="12" fillId="2" borderId="14" xfId="0" applyNumberFormat="1" applyFont="1" applyFill="1" applyBorder="1" applyAlignment="1">
      <alignment horizontal="center" vertical="center"/>
    </xf>
    <xf numFmtId="187" fontId="14" fillId="2" borderId="13" xfId="0" applyNumberFormat="1" applyFont="1" applyFill="1" applyBorder="1" applyAlignment="1">
      <alignment horizontal="center" vertical="center"/>
    </xf>
    <xf numFmtId="187" fontId="14" fillId="2" borderId="45" xfId="0" applyNumberFormat="1" applyFont="1" applyFill="1" applyBorder="1" applyAlignment="1">
      <alignment horizontal="center" vertical="center"/>
    </xf>
    <xf numFmtId="180" fontId="14" fillId="2" borderId="10" xfId="0" applyNumberFormat="1" applyFont="1" applyFill="1" applyBorder="1" applyAlignment="1">
      <alignment horizontal="center" vertical="center"/>
    </xf>
    <xf numFmtId="180" fontId="14" fillId="2" borderId="55" xfId="0" applyNumberFormat="1" applyFont="1" applyFill="1" applyBorder="1" applyAlignment="1">
      <alignment horizontal="center" vertical="center"/>
    </xf>
    <xf numFmtId="189" fontId="14" fillId="2" borderId="13" xfId="0" applyNumberFormat="1" applyFont="1" applyFill="1" applyBorder="1" applyAlignment="1">
      <alignment horizontal="center" vertical="center"/>
    </xf>
    <xf numFmtId="189" fontId="14" fillId="2" borderId="45" xfId="0" applyNumberFormat="1" applyFont="1" applyFill="1" applyBorder="1" applyAlignment="1">
      <alignment horizontal="center" vertical="center"/>
    </xf>
    <xf numFmtId="180" fontId="14" fillId="2" borderId="4" xfId="0" applyNumberFormat="1" applyFont="1" applyFill="1" applyBorder="1" applyAlignment="1">
      <alignment horizontal="center" vertical="center"/>
    </xf>
    <xf numFmtId="180" fontId="14" fillId="2" borderId="53" xfId="0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26" xfId="1" applyFon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/>
    </xf>
    <xf numFmtId="0" fontId="4" fillId="2" borderId="28" xfId="1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 wrapText="1"/>
    </xf>
    <xf numFmtId="0" fontId="4" fillId="2" borderId="39" xfId="1" applyFont="1" applyFill="1" applyBorder="1" applyAlignment="1">
      <alignment horizontal="left" vertical="center"/>
    </xf>
    <xf numFmtId="0" fontId="4" fillId="2" borderId="40" xfId="1" applyFont="1" applyFill="1" applyBorder="1" applyAlignment="1">
      <alignment horizontal="left" vertical="center"/>
    </xf>
    <xf numFmtId="0" fontId="4" fillId="2" borderId="47" xfId="1" applyFont="1" applyFill="1" applyBorder="1" applyAlignment="1">
      <alignment horizontal="center" vertical="center"/>
    </xf>
    <xf numFmtId="0" fontId="4" fillId="2" borderId="48" xfId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7" fontId="12" fillId="0" borderId="4" xfId="0" applyNumberFormat="1" applyFont="1" applyBorder="1" applyAlignment="1">
      <alignment horizontal="center" vertical="center"/>
    </xf>
    <xf numFmtId="177" fontId="12" fillId="0" borderId="36" xfId="0" applyNumberFormat="1" applyFont="1" applyBorder="1" applyAlignment="1">
      <alignment horizontal="center" vertical="center"/>
    </xf>
    <xf numFmtId="178" fontId="12" fillId="0" borderId="4" xfId="0" applyNumberFormat="1" applyFont="1" applyBorder="1" applyAlignment="1">
      <alignment horizontal="center" vertical="center"/>
    </xf>
    <xf numFmtId="0" fontId="51" fillId="2" borderId="4" xfId="0" applyFont="1" applyFill="1" applyBorder="1" applyAlignment="1">
      <alignment horizontal="left" vertical="center"/>
    </xf>
    <xf numFmtId="0" fontId="51" fillId="2" borderId="10" xfId="0" applyFont="1" applyFill="1" applyBorder="1" applyAlignment="1">
      <alignment horizontal="left" vertical="center"/>
    </xf>
    <xf numFmtId="0" fontId="51" fillId="2" borderId="11" xfId="0" applyFont="1" applyFill="1" applyBorder="1" applyAlignment="1">
      <alignment horizontal="left" vertical="center"/>
    </xf>
    <xf numFmtId="0" fontId="51" fillId="0" borderId="10" xfId="0" applyFont="1" applyBorder="1" applyAlignment="1">
      <alignment horizontal="left" vertical="center"/>
    </xf>
    <xf numFmtId="0" fontId="51" fillId="0" borderId="11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18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left" vertical="center"/>
    </xf>
    <xf numFmtId="177" fontId="14" fillId="0" borderId="29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22" fillId="0" borderId="0" xfId="1" applyFont="1" applyAlignment="1">
      <alignment horizontal="left" vertical="center"/>
    </xf>
    <xf numFmtId="189" fontId="14" fillId="0" borderId="13" xfId="0" applyNumberFormat="1" applyFont="1" applyBorder="1" applyAlignment="1">
      <alignment horizontal="center" vertical="center"/>
    </xf>
    <xf numFmtId="189" fontId="14" fillId="0" borderId="45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87" fontId="14" fillId="0" borderId="13" xfId="0" applyNumberFormat="1" applyFont="1" applyBorder="1" applyAlignment="1">
      <alignment horizontal="center" vertical="center"/>
    </xf>
    <xf numFmtId="187" fontId="14" fillId="0" borderId="4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88" fontId="14" fillId="0" borderId="13" xfId="0" applyNumberFormat="1" applyFont="1" applyBorder="1" applyAlignment="1">
      <alignment horizontal="center" vertical="center"/>
    </xf>
    <xf numFmtId="188" fontId="14" fillId="0" borderId="45" xfId="0" applyNumberFormat="1" applyFont="1" applyBorder="1" applyAlignment="1">
      <alignment horizontal="center" vertical="center"/>
    </xf>
    <xf numFmtId="180" fontId="14" fillId="0" borderId="23" xfId="0" applyNumberFormat="1" applyFont="1" applyBorder="1" applyAlignment="1">
      <alignment horizontal="center" vertical="center"/>
    </xf>
    <xf numFmtId="180" fontId="14" fillId="0" borderId="30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80" fontId="14" fillId="0" borderId="4" xfId="0" applyNumberFormat="1" applyFont="1" applyBorder="1" applyAlignment="1">
      <alignment horizontal="center" vertical="center"/>
    </xf>
    <xf numFmtId="180" fontId="14" fillId="0" borderId="53" xfId="0" applyNumberFormat="1" applyFont="1" applyBorder="1" applyAlignment="1">
      <alignment horizontal="center" vertical="center"/>
    </xf>
    <xf numFmtId="180" fontId="14" fillId="0" borderId="36" xfId="0" applyNumberFormat="1" applyFont="1" applyBorder="1" applyAlignment="1">
      <alignment horizontal="center" vertical="center"/>
    </xf>
    <xf numFmtId="180" fontId="14" fillId="0" borderId="54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12" fillId="0" borderId="4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23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4" fillId="0" borderId="20" xfId="0" applyFont="1" applyBorder="1">
      <alignment vertical="center"/>
    </xf>
    <xf numFmtId="0" fontId="4" fillId="0" borderId="0" xfId="0" applyFont="1">
      <alignment vertical="center"/>
    </xf>
    <xf numFmtId="0" fontId="48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16" fontId="44" fillId="0" borderId="0" xfId="0" quotePrefix="1" applyNumberFormat="1" applyFont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</cellXfs>
  <cellStyles count="5">
    <cellStyle name="Normal 2" xfId="3" xr:uid="{00000000-0005-0000-0000-000002000000}"/>
    <cellStyle name="桁区切り [0.00]" xfId="4" builtinId="3"/>
    <cellStyle name="桁区切り 2" xfId="2" xr:uid="{00000000-0005-0000-0000-000003000000}"/>
    <cellStyle name="標準" xfId="0" builtinId="0"/>
    <cellStyle name="標準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8283</xdr:colOff>
      <xdr:row>20</xdr:row>
      <xdr:rowOff>8284</xdr:rowOff>
    </xdr:from>
    <xdr:to>
      <xdr:col>7</xdr:col>
      <xdr:colOff>422413</xdr:colOff>
      <xdr:row>21</xdr:row>
      <xdr:rowOff>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67494DA-5504-47E9-AB49-67BE855BA31D}"/>
            </a:ext>
          </a:extLst>
        </xdr:cNvPr>
        <xdr:cNvSpPr/>
      </xdr:nvSpPr>
      <xdr:spPr>
        <a:xfrm>
          <a:off x="5970933" y="3342034"/>
          <a:ext cx="414130" cy="1822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ＭＳ Ｐゴシック" panose="020B0600070205080204" pitchFamily="34" charset="-128"/>
              <a:ea typeface="ＭＳ Ｐゴシック" panose="020B0600070205080204" pitchFamily="34" charset="-128"/>
            </a:rPr>
            <a:t>✔</a:t>
          </a:r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8281</xdr:colOff>
      <xdr:row>20</xdr:row>
      <xdr:rowOff>190496</xdr:rowOff>
    </xdr:from>
    <xdr:to>
      <xdr:col>7</xdr:col>
      <xdr:colOff>422411</xdr:colOff>
      <xdr:row>21</xdr:row>
      <xdr:rowOff>190496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94DBEE7-D5A9-46FB-A6BA-5D6725BA854C}"/>
            </a:ext>
          </a:extLst>
        </xdr:cNvPr>
        <xdr:cNvSpPr/>
      </xdr:nvSpPr>
      <xdr:spPr>
        <a:xfrm>
          <a:off x="5970931" y="3524246"/>
          <a:ext cx="4141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8283</xdr:colOff>
      <xdr:row>23</xdr:row>
      <xdr:rowOff>41411</xdr:rowOff>
    </xdr:from>
    <xdr:to>
      <xdr:col>7</xdr:col>
      <xdr:colOff>323850</xdr:colOff>
      <xdr:row>24</xdr:row>
      <xdr:rowOff>9526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76E8C28-B0E1-42FD-B33E-11DA8A81A56C}"/>
            </a:ext>
          </a:extLst>
        </xdr:cNvPr>
        <xdr:cNvSpPr/>
      </xdr:nvSpPr>
      <xdr:spPr>
        <a:xfrm>
          <a:off x="5580408" y="3946661"/>
          <a:ext cx="315567" cy="1681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8284</xdr:colOff>
      <xdr:row>23</xdr:row>
      <xdr:rowOff>190500</xdr:rowOff>
    </xdr:from>
    <xdr:to>
      <xdr:col>7</xdr:col>
      <xdr:colOff>314326</xdr:colOff>
      <xdr:row>24</xdr:row>
      <xdr:rowOff>161925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47DA097-B818-4A31-9E7E-997D71B38553}"/>
            </a:ext>
          </a:extLst>
        </xdr:cNvPr>
        <xdr:cNvSpPr/>
      </xdr:nvSpPr>
      <xdr:spPr>
        <a:xfrm>
          <a:off x="5580409" y="4095750"/>
          <a:ext cx="306042" cy="1714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0</xdr:colOff>
      <xdr:row>24</xdr:row>
      <xdr:rowOff>171451</xdr:rowOff>
    </xdr:from>
    <xdr:to>
      <xdr:col>7</xdr:col>
      <xdr:colOff>304800</xdr:colOff>
      <xdr:row>25</xdr:row>
      <xdr:rowOff>161925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B6AECCF-1BD0-43CC-AAC3-EE430792BF26}"/>
            </a:ext>
          </a:extLst>
        </xdr:cNvPr>
        <xdr:cNvSpPr/>
      </xdr:nvSpPr>
      <xdr:spPr>
        <a:xfrm>
          <a:off x="5572125" y="4276726"/>
          <a:ext cx="304800" cy="18097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8283</xdr:colOff>
      <xdr:row>21</xdr:row>
      <xdr:rowOff>8286</xdr:rowOff>
    </xdr:from>
    <xdr:to>
      <xdr:col>8</xdr:col>
      <xdr:colOff>422413</xdr:colOff>
      <xdr:row>22</xdr:row>
      <xdr:rowOff>3</xdr:rowOff>
    </xdr:to>
    <xdr:sp macro="" textlink="">
      <xdr:nvSpPr>
        <xdr:cNvPr id="2" name="正方形/長方形 11">
          <a:extLst>
            <a:ext uri="{FF2B5EF4-FFF2-40B4-BE49-F238E27FC236}">
              <a16:creationId xmlns:a16="http://schemas.microsoft.com/office/drawing/2014/main" id="{4B0266EE-5DDB-45E4-985F-C837377BEDB2}"/>
            </a:ext>
          </a:extLst>
        </xdr:cNvPr>
        <xdr:cNvSpPr/>
      </xdr:nvSpPr>
      <xdr:spPr>
        <a:xfrm>
          <a:off x="6294783" y="3361086"/>
          <a:ext cx="414130" cy="1822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8281</xdr:colOff>
      <xdr:row>21</xdr:row>
      <xdr:rowOff>190496</xdr:rowOff>
    </xdr:from>
    <xdr:to>
      <xdr:col>8</xdr:col>
      <xdr:colOff>422411</xdr:colOff>
      <xdr:row>22</xdr:row>
      <xdr:rowOff>190496</xdr:rowOff>
    </xdr:to>
    <xdr:sp macro="" textlink="">
      <xdr:nvSpPr>
        <xdr:cNvPr id="3" name="正方形/長方形 12">
          <a:extLst>
            <a:ext uri="{FF2B5EF4-FFF2-40B4-BE49-F238E27FC236}">
              <a16:creationId xmlns:a16="http://schemas.microsoft.com/office/drawing/2014/main" id="{242745F3-BD2D-462C-ABDB-BCEC36E9328B}"/>
            </a:ext>
          </a:extLst>
        </xdr:cNvPr>
        <xdr:cNvSpPr/>
      </xdr:nvSpPr>
      <xdr:spPr>
        <a:xfrm>
          <a:off x="6294781" y="3543296"/>
          <a:ext cx="4141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8</xdr:col>
      <xdr:colOff>52595</xdr:colOff>
      <xdr:row>20</xdr:row>
      <xdr:rowOff>140804</xdr:rowOff>
    </xdr:from>
    <xdr:ext cx="347502" cy="347204"/>
    <xdr:pic>
      <xdr:nvPicPr>
        <xdr:cNvPr id="4" name="図 13">
          <a:extLst>
            <a:ext uri="{FF2B5EF4-FFF2-40B4-BE49-F238E27FC236}">
              <a16:creationId xmlns:a16="http://schemas.microsoft.com/office/drawing/2014/main" id="{3FB55C68-D3DE-46B0-A9CD-22C08DFA5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9095" y="3303104"/>
          <a:ext cx="347502" cy="347204"/>
        </a:xfrm>
        <a:prstGeom prst="rect">
          <a:avLst/>
        </a:prstGeom>
      </xdr:spPr>
    </xdr:pic>
    <xdr:clientData/>
  </xdr:oneCellAnchor>
  <xdr:twoCellAnchor>
    <xdr:from>
      <xdr:col>8</xdr:col>
      <xdr:colOff>8283</xdr:colOff>
      <xdr:row>21</xdr:row>
      <xdr:rowOff>8286</xdr:rowOff>
    </xdr:from>
    <xdr:to>
      <xdr:col>8</xdr:col>
      <xdr:colOff>422413</xdr:colOff>
      <xdr:row>22</xdr:row>
      <xdr:rowOff>3</xdr:rowOff>
    </xdr:to>
    <xdr:sp macro="" textlink="">
      <xdr:nvSpPr>
        <xdr:cNvPr id="5" name="正方形/長方形 14">
          <a:extLst>
            <a:ext uri="{FF2B5EF4-FFF2-40B4-BE49-F238E27FC236}">
              <a16:creationId xmlns:a16="http://schemas.microsoft.com/office/drawing/2014/main" id="{40DB6FD2-7422-4EBD-A3E3-0B06364851BD}"/>
            </a:ext>
          </a:extLst>
        </xdr:cNvPr>
        <xdr:cNvSpPr/>
      </xdr:nvSpPr>
      <xdr:spPr>
        <a:xfrm>
          <a:off x="6294783" y="3361086"/>
          <a:ext cx="414130" cy="1822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8281</xdr:colOff>
      <xdr:row>21</xdr:row>
      <xdr:rowOff>190496</xdr:rowOff>
    </xdr:from>
    <xdr:to>
      <xdr:col>8</xdr:col>
      <xdr:colOff>422411</xdr:colOff>
      <xdr:row>22</xdr:row>
      <xdr:rowOff>190496</xdr:rowOff>
    </xdr:to>
    <xdr:sp macro="" textlink="">
      <xdr:nvSpPr>
        <xdr:cNvPr id="6" name="正方形/長方形 15">
          <a:extLst>
            <a:ext uri="{FF2B5EF4-FFF2-40B4-BE49-F238E27FC236}">
              <a16:creationId xmlns:a16="http://schemas.microsoft.com/office/drawing/2014/main" id="{7D5D7BF0-FB89-4574-8A78-4696F5AC82D0}"/>
            </a:ext>
          </a:extLst>
        </xdr:cNvPr>
        <xdr:cNvSpPr/>
      </xdr:nvSpPr>
      <xdr:spPr>
        <a:xfrm>
          <a:off x="6294781" y="3543296"/>
          <a:ext cx="4141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8</xdr:col>
      <xdr:colOff>55908</xdr:colOff>
      <xdr:row>20</xdr:row>
      <xdr:rowOff>152400</xdr:rowOff>
    </xdr:from>
    <xdr:to>
      <xdr:col>8</xdr:col>
      <xdr:colOff>403410</xdr:colOff>
      <xdr:row>22</xdr:row>
      <xdr:rowOff>118605</xdr:rowOff>
    </xdr:to>
    <xdr:pic>
      <xdr:nvPicPr>
        <xdr:cNvPr id="7" name="図 16">
          <a:extLst>
            <a:ext uri="{FF2B5EF4-FFF2-40B4-BE49-F238E27FC236}">
              <a16:creationId xmlns:a16="http://schemas.microsoft.com/office/drawing/2014/main" id="{8C22D1F4-A8B7-44A8-A39C-A101C48E3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2408" y="3314700"/>
          <a:ext cx="347502" cy="347205"/>
        </a:xfrm>
        <a:prstGeom prst="rect">
          <a:avLst/>
        </a:prstGeom>
      </xdr:spPr>
    </xdr:pic>
    <xdr:clientData/>
  </xdr:twoCellAnchor>
  <xdr:twoCellAnchor>
    <xdr:from>
      <xdr:col>8</xdr:col>
      <xdr:colOff>18525</xdr:colOff>
      <xdr:row>24</xdr:row>
      <xdr:rowOff>16564</xdr:rowOff>
    </xdr:from>
    <xdr:to>
      <xdr:col>8</xdr:col>
      <xdr:colOff>432655</xdr:colOff>
      <xdr:row>25</xdr:row>
      <xdr:rowOff>24847</xdr:rowOff>
    </xdr:to>
    <xdr:sp macro="" textlink="">
      <xdr:nvSpPr>
        <xdr:cNvPr id="8" name="正方形/長方形 17">
          <a:extLst>
            <a:ext uri="{FF2B5EF4-FFF2-40B4-BE49-F238E27FC236}">
              <a16:creationId xmlns:a16="http://schemas.microsoft.com/office/drawing/2014/main" id="{455A2FCF-AE32-4C67-97C6-8F3A628A7F1D}"/>
            </a:ext>
          </a:extLst>
        </xdr:cNvPr>
        <xdr:cNvSpPr/>
      </xdr:nvSpPr>
      <xdr:spPr>
        <a:xfrm>
          <a:off x="6305025" y="3902764"/>
          <a:ext cx="414130" cy="17020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8283</xdr:colOff>
      <xdr:row>25</xdr:row>
      <xdr:rowOff>24854</xdr:rowOff>
    </xdr:from>
    <xdr:to>
      <xdr:col>8</xdr:col>
      <xdr:colOff>422413</xdr:colOff>
      <xdr:row>26</xdr:row>
      <xdr:rowOff>8289</xdr:rowOff>
    </xdr:to>
    <xdr:sp macro="" textlink="">
      <xdr:nvSpPr>
        <xdr:cNvPr id="9" name="正方形/長方形 18">
          <a:extLst>
            <a:ext uri="{FF2B5EF4-FFF2-40B4-BE49-F238E27FC236}">
              <a16:creationId xmlns:a16="http://schemas.microsoft.com/office/drawing/2014/main" id="{CE8107BD-167C-493F-A56E-50EF0FAEC32F}"/>
            </a:ext>
          </a:extLst>
        </xdr:cNvPr>
        <xdr:cNvSpPr/>
      </xdr:nvSpPr>
      <xdr:spPr>
        <a:xfrm>
          <a:off x="6294783" y="4072979"/>
          <a:ext cx="414130" cy="1739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8283</xdr:colOff>
      <xdr:row>26</xdr:row>
      <xdr:rowOff>8281</xdr:rowOff>
    </xdr:from>
    <xdr:to>
      <xdr:col>8</xdr:col>
      <xdr:colOff>422413</xdr:colOff>
      <xdr:row>26</xdr:row>
      <xdr:rowOff>182216</xdr:rowOff>
    </xdr:to>
    <xdr:sp macro="" textlink="">
      <xdr:nvSpPr>
        <xdr:cNvPr id="10" name="正方形/長方形 19">
          <a:extLst>
            <a:ext uri="{FF2B5EF4-FFF2-40B4-BE49-F238E27FC236}">
              <a16:creationId xmlns:a16="http://schemas.microsoft.com/office/drawing/2014/main" id="{B6F7EA0B-38D5-43DC-881D-07CDBF8E53CB}"/>
            </a:ext>
          </a:extLst>
        </xdr:cNvPr>
        <xdr:cNvSpPr/>
      </xdr:nvSpPr>
      <xdr:spPr>
        <a:xfrm>
          <a:off x="6294783" y="4246906"/>
          <a:ext cx="414130" cy="1739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8283</xdr:colOff>
      <xdr:row>26</xdr:row>
      <xdr:rowOff>16564</xdr:rowOff>
    </xdr:from>
    <xdr:to>
      <xdr:col>8</xdr:col>
      <xdr:colOff>422413</xdr:colOff>
      <xdr:row>27</xdr:row>
      <xdr:rowOff>24847</xdr:rowOff>
    </xdr:to>
    <xdr:sp macro="" textlink="">
      <xdr:nvSpPr>
        <xdr:cNvPr id="11" name="正方形/長方形 20">
          <a:extLst>
            <a:ext uri="{FF2B5EF4-FFF2-40B4-BE49-F238E27FC236}">
              <a16:creationId xmlns:a16="http://schemas.microsoft.com/office/drawing/2014/main" id="{8E69FC2C-7649-4DDC-BE03-331919AF465F}"/>
            </a:ext>
          </a:extLst>
        </xdr:cNvPr>
        <xdr:cNvSpPr/>
      </xdr:nvSpPr>
      <xdr:spPr>
        <a:xfrm>
          <a:off x="6294783" y="4255189"/>
          <a:ext cx="414130" cy="1987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8283</xdr:colOff>
      <xdr:row>21</xdr:row>
      <xdr:rowOff>8284</xdr:rowOff>
    </xdr:from>
    <xdr:to>
      <xdr:col>7</xdr:col>
      <xdr:colOff>422413</xdr:colOff>
      <xdr:row>22</xdr:row>
      <xdr:rowOff>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7501808-18EF-42BF-B708-BF1ADCCEC3AE}"/>
            </a:ext>
          </a:extLst>
        </xdr:cNvPr>
        <xdr:cNvSpPr/>
      </xdr:nvSpPr>
      <xdr:spPr>
        <a:xfrm>
          <a:off x="6132858" y="3646834"/>
          <a:ext cx="414130" cy="1822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ＭＳ Ｐゴシック" panose="020B0600070205080204" pitchFamily="34" charset="-128"/>
              <a:ea typeface="ＭＳ Ｐゴシック" panose="020B0600070205080204" pitchFamily="34" charset="-128"/>
            </a:rPr>
            <a:t>✔</a:t>
          </a:r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8281</xdr:colOff>
      <xdr:row>21</xdr:row>
      <xdr:rowOff>190496</xdr:rowOff>
    </xdr:from>
    <xdr:to>
      <xdr:col>7</xdr:col>
      <xdr:colOff>422411</xdr:colOff>
      <xdr:row>22</xdr:row>
      <xdr:rowOff>190496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DA03A13-6D67-4CF1-8823-1DCFBAE301B0}"/>
            </a:ext>
          </a:extLst>
        </xdr:cNvPr>
        <xdr:cNvSpPr/>
      </xdr:nvSpPr>
      <xdr:spPr>
        <a:xfrm>
          <a:off x="6132856" y="3829046"/>
          <a:ext cx="4141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8283</xdr:colOff>
      <xdr:row>24</xdr:row>
      <xdr:rowOff>41411</xdr:rowOff>
    </xdr:from>
    <xdr:to>
      <xdr:col>7</xdr:col>
      <xdr:colOff>422413</xdr:colOff>
      <xdr:row>25</xdr:row>
      <xdr:rowOff>24846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E834F3D-363F-4951-9656-BC5D0B2098D4}"/>
            </a:ext>
          </a:extLst>
        </xdr:cNvPr>
        <xdr:cNvSpPr/>
      </xdr:nvSpPr>
      <xdr:spPr>
        <a:xfrm>
          <a:off x="6132858" y="4251461"/>
          <a:ext cx="414130" cy="1739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8283</xdr:colOff>
      <xdr:row>25</xdr:row>
      <xdr:rowOff>24850</xdr:rowOff>
    </xdr:from>
    <xdr:to>
      <xdr:col>7</xdr:col>
      <xdr:colOff>422413</xdr:colOff>
      <xdr:row>26</xdr:row>
      <xdr:rowOff>8285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34F4F75-55F2-4F58-AD87-A53495F3DC08}"/>
            </a:ext>
          </a:extLst>
        </xdr:cNvPr>
        <xdr:cNvSpPr/>
      </xdr:nvSpPr>
      <xdr:spPr>
        <a:xfrm>
          <a:off x="6132858" y="4425400"/>
          <a:ext cx="414130" cy="1739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8283</xdr:colOff>
      <xdr:row>26</xdr:row>
      <xdr:rowOff>8278</xdr:rowOff>
    </xdr:from>
    <xdr:to>
      <xdr:col>7</xdr:col>
      <xdr:colOff>422413</xdr:colOff>
      <xdr:row>26</xdr:row>
      <xdr:rowOff>182213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A4BC35C-7A86-4829-9719-9D529D4E6174}"/>
            </a:ext>
          </a:extLst>
        </xdr:cNvPr>
        <xdr:cNvSpPr/>
      </xdr:nvSpPr>
      <xdr:spPr>
        <a:xfrm>
          <a:off x="6132858" y="4599328"/>
          <a:ext cx="414130" cy="1739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6"/>
  <sheetViews>
    <sheetView tabSelected="1" view="pageBreakPreview" zoomScale="85" zoomScaleNormal="130" zoomScaleSheetLayoutView="85" workbookViewId="0">
      <selection activeCell="H7" sqref="H7:K9"/>
    </sheetView>
  </sheetViews>
  <sheetFormatPr defaultColWidth="9" defaultRowHeight="15"/>
  <cols>
    <col min="1" max="1" width="4.375" style="5" customWidth="1"/>
    <col min="2" max="2" width="9" style="5"/>
    <col min="3" max="3" width="6.125" style="5" customWidth="1"/>
    <col min="4" max="4" width="30.875" style="5" customWidth="1"/>
    <col min="5" max="5" width="19" style="5" customWidth="1"/>
    <col min="6" max="6" width="8" style="5" customWidth="1"/>
    <col min="7" max="7" width="10" style="5" customWidth="1"/>
    <col min="8" max="8" width="9" style="5"/>
    <col min="9" max="9" width="2.375" style="5" customWidth="1"/>
    <col min="10" max="10" width="9.875" style="5" customWidth="1"/>
    <col min="11" max="11" width="17.375" style="5" customWidth="1"/>
    <col min="12" max="12" width="4.125" style="5" customWidth="1"/>
    <col min="13" max="16384" width="9" style="5"/>
  </cols>
  <sheetData>
    <row r="1" spans="1:12" ht="13.5" customHeight="1">
      <c r="A1" s="255" t="s">
        <v>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</row>
    <row r="2" spans="1:12" ht="7.5" customHeight="1">
      <c r="A2" s="255"/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</row>
    <row r="3" spans="1:12" ht="3.75" customHeight="1">
      <c r="A3" s="255"/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</row>
    <row r="4" spans="1:12" ht="5.45" customHeight="1">
      <c r="A4" s="255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</row>
    <row r="5" spans="1:12">
      <c r="H5" s="85" t="s">
        <v>215</v>
      </c>
    </row>
    <row r="6" spans="1:12" ht="15.75" thickBot="1"/>
    <row r="7" spans="1:12">
      <c r="A7" s="7" t="s">
        <v>1</v>
      </c>
      <c r="B7" s="8"/>
      <c r="C7" s="8"/>
      <c r="D7" s="8"/>
      <c r="E7" s="8"/>
      <c r="F7" s="8"/>
      <c r="G7" s="58"/>
      <c r="H7" s="265" t="s">
        <v>216</v>
      </c>
      <c r="I7" s="266"/>
      <c r="J7" s="266"/>
      <c r="K7" s="267"/>
    </row>
    <row r="8" spans="1:12" ht="7.5" customHeight="1">
      <c r="A8" s="9"/>
      <c r="G8" s="59"/>
      <c r="H8" s="268"/>
      <c r="I8" s="269"/>
      <c r="J8" s="269"/>
      <c r="K8" s="270"/>
    </row>
    <row r="9" spans="1:12" ht="13.5" customHeight="1">
      <c r="A9" s="47" t="s">
        <v>2</v>
      </c>
      <c r="B9" s="2"/>
      <c r="C9" s="2"/>
      <c r="D9" s="2"/>
      <c r="E9" s="2"/>
      <c r="F9" s="2"/>
      <c r="G9" s="60"/>
      <c r="H9" s="268"/>
      <c r="I9" s="269"/>
      <c r="J9" s="269"/>
      <c r="K9" s="270"/>
    </row>
    <row r="10" spans="1:12" ht="13.5" customHeight="1">
      <c r="A10" s="45" t="s">
        <v>3</v>
      </c>
      <c r="B10" s="1"/>
      <c r="C10" s="1"/>
      <c r="D10" s="1"/>
      <c r="E10" s="1"/>
      <c r="F10" s="1"/>
      <c r="G10" s="46"/>
      <c r="H10" s="271" t="s">
        <v>4</v>
      </c>
      <c r="I10" s="272"/>
      <c r="J10" s="275" t="s">
        <v>5</v>
      </c>
      <c r="K10" s="276"/>
    </row>
    <row r="11" spans="1:12" ht="24" customHeight="1">
      <c r="A11" s="45" t="s">
        <v>204</v>
      </c>
      <c r="B11" s="1"/>
      <c r="C11" s="1"/>
      <c r="D11" s="1"/>
      <c r="E11" s="1"/>
      <c r="F11" s="1"/>
      <c r="G11" s="46"/>
      <c r="H11" s="273"/>
      <c r="I11" s="274"/>
      <c r="J11" s="277"/>
      <c r="K11" s="278"/>
    </row>
    <row r="12" spans="1:12">
      <c r="A12" s="45" t="s">
        <v>7</v>
      </c>
      <c r="B12" s="1"/>
      <c r="C12" s="1"/>
      <c r="D12" s="1"/>
      <c r="E12" s="1"/>
      <c r="F12" s="283"/>
      <c r="G12" s="284"/>
      <c r="H12" s="279" t="s">
        <v>8</v>
      </c>
      <c r="I12" s="280"/>
      <c r="J12" s="281" t="s">
        <v>9</v>
      </c>
      <c r="K12" s="282"/>
    </row>
    <row r="13" spans="1:12">
      <c r="A13" s="45" t="s">
        <v>10</v>
      </c>
      <c r="B13" s="1"/>
      <c r="F13" s="244"/>
      <c r="G13" s="285"/>
      <c r="H13" s="256" t="s">
        <v>148</v>
      </c>
      <c r="I13" s="257"/>
      <c r="J13" s="257"/>
      <c r="K13" s="258"/>
    </row>
    <row r="14" spans="1:12" ht="3" customHeight="1">
      <c r="A14" s="10"/>
      <c r="B14" s="11"/>
      <c r="C14" s="11"/>
      <c r="D14" s="11"/>
      <c r="E14" s="11"/>
      <c r="F14" s="61"/>
      <c r="G14" s="62"/>
      <c r="H14" s="288" t="s">
        <v>12</v>
      </c>
      <c r="I14" s="289"/>
      <c r="J14" s="289"/>
      <c r="K14" s="290"/>
    </row>
    <row r="15" spans="1:12" ht="18" customHeight="1">
      <c r="A15" s="12" t="s">
        <v>13</v>
      </c>
      <c r="B15" s="13"/>
      <c r="C15" s="13"/>
      <c r="D15" s="13"/>
      <c r="E15" s="13"/>
      <c r="F15" s="13"/>
      <c r="G15" s="63"/>
      <c r="H15" s="261"/>
      <c r="I15" s="291"/>
      <c r="J15" s="291"/>
      <c r="K15" s="292"/>
    </row>
    <row r="16" spans="1:12" ht="13.5" hidden="1" customHeight="1">
      <c r="A16" s="14"/>
      <c r="G16" s="59"/>
      <c r="H16" s="261"/>
      <c r="I16" s="291"/>
      <c r="J16" s="291"/>
      <c r="K16" s="292"/>
    </row>
    <row r="17" spans="1:11" ht="3.75" customHeight="1">
      <c r="A17" s="14"/>
      <c r="G17" s="59"/>
      <c r="H17" s="261"/>
      <c r="I17" s="291"/>
      <c r="J17" s="291"/>
      <c r="K17" s="292"/>
    </row>
    <row r="18" spans="1:11" ht="20.25">
      <c r="A18" s="66" t="s">
        <v>14</v>
      </c>
      <c r="B18" s="1"/>
      <c r="C18" s="1"/>
      <c r="D18" s="1"/>
      <c r="E18" s="1"/>
      <c r="G18" s="59"/>
      <c r="H18" s="263"/>
      <c r="I18" s="293"/>
      <c r="J18" s="293"/>
      <c r="K18" s="294"/>
    </row>
    <row r="19" spans="1:11">
      <c r="A19" s="84" t="s">
        <v>194</v>
      </c>
      <c r="B19" s="1"/>
      <c r="C19" s="1"/>
      <c r="D19" s="1"/>
      <c r="E19" s="1"/>
      <c r="G19" s="59"/>
      <c r="H19" s="64" t="s">
        <v>16</v>
      </c>
      <c r="K19" s="15"/>
    </row>
    <row r="20" spans="1:11">
      <c r="A20" s="84"/>
      <c r="B20" s="1"/>
      <c r="C20" s="1"/>
      <c r="D20" s="1"/>
      <c r="E20" s="1"/>
      <c r="G20" s="59"/>
      <c r="H20" s="64"/>
      <c r="K20" s="15"/>
    </row>
    <row r="21" spans="1:11" ht="15" customHeight="1">
      <c r="A21" s="45" t="s">
        <v>82</v>
      </c>
      <c r="B21" s="1"/>
      <c r="C21" s="1"/>
      <c r="D21" s="133"/>
      <c r="E21" s="133"/>
      <c r="F21" s="286"/>
      <c r="G21" s="287"/>
      <c r="H21" s="232" t="s">
        <v>198</v>
      </c>
      <c r="I21" s="233" t="s">
        <v>199</v>
      </c>
      <c r="K21" s="15"/>
    </row>
    <row r="22" spans="1:11" ht="15" customHeight="1">
      <c r="A22" s="45" t="s">
        <v>195</v>
      </c>
      <c r="B22" s="1"/>
      <c r="C22" s="1"/>
      <c r="D22" s="133"/>
      <c r="E22" s="133"/>
      <c r="F22" s="286"/>
      <c r="G22" s="287"/>
      <c r="H22" s="234"/>
      <c r="I22" s="233" t="s">
        <v>200</v>
      </c>
      <c r="K22" s="15"/>
    </row>
    <row r="23" spans="1:11">
      <c r="A23" s="19"/>
      <c r="B23" s="20"/>
      <c r="C23" s="311"/>
      <c r="D23" s="311"/>
      <c r="E23" s="311"/>
      <c r="F23" s="311"/>
      <c r="G23" s="62"/>
      <c r="K23" s="15"/>
    </row>
    <row r="24" spans="1:11">
      <c r="A24" s="312" t="s">
        <v>21</v>
      </c>
      <c r="B24" s="313"/>
      <c r="C24" s="313"/>
      <c r="D24" s="313"/>
      <c r="E24" s="313"/>
      <c r="F24" s="313"/>
      <c r="G24" s="314"/>
      <c r="H24" s="234"/>
      <c r="I24" s="155" t="s">
        <v>201</v>
      </c>
      <c r="K24" s="15"/>
    </row>
    <row r="25" spans="1:11">
      <c r="A25" s="315" t="s">
        <v>205</v>
      </c>
      <c r="B25" s="316"/>
      <c r="C25" s="316"/>
      <c r="D25" s="316"/>
      <c r="E25" s="316"/>
      <c r="F25" s="316"/>
      <c r="G25" s="317"/>
      <c r="H25" s="234"/>
      <c r="I25" s="155" t="s">
        <v>202</v>
      </c>
      <c r="K25" s="15"/>
    </row>
    <row r="26" spans="1:11">
      <c r="A26" s="295" t="s">
        <v>25</v>
      </c>
      <c r="B26" s="296"/>
      <c r="C26" s="296"/>
      <c r="D26" s="296"/>
      <c r="E26" s="296"/>
      <c r="F26" s="296"/>
      <c r="G26" s="296"/>
      <c r="H26" s="234"/>
      <c r="I26" s="155" t="s">
        <v>203</v>
      </c>
      <c r="K26" s="15"/>
    </row>
    <row r="27" spans="1:11" ht="15" customHeight="1" thickBot="1">
      <c r="A27" s="297" t="s">
        <v>27</v>
      </c>
      <c r="B27" s="298"/>
      <c r="C27" s="298"/>
      <c r="D27" s="298"/>
      <c r="E27" s="298"/>
      <c r="F27" s="298"/>
      <c r="G27" s="299"/>
      <c r="H27" s="99"/>
      <c r="I27" s="6"/>
      <c r="J27" s="6"/>
      <c r="K27" s="16"/>
    </row>
    <row r="28" spans="1:11" ht="15.75" thickBot="1">
      <c r="H28" s="100"/>
    </row>
    <row r="29" spans="1:11" ht="6" customHeight="1">
      <c r="A29" s="300" t="s">
        <v>28</v>
      </c>
      <c r="B29" s="301"/>
      <c r="C29" s="301"/>
      <c r="D29" s="304" t="s">
        <v>29</v>
      </c>
      <c r="E29" s="304" t="s">
        <v>30</v>
      </c>
      <c r="F29" s="308" t="s">
        <v>31</v>
      </c>
      <c r="G29" s="306" t="s">
        <v>32</v>
      </c>
      <c r="H29" s="259" t="s">
        <v>188</v>
      </c>
      <c r="I29" s="260"/>
      <c r="J29" s="318" t="s">
        <v>189</v>
      </c>
      <c r="K29" s="319"/>
    </row>
    <row r="30" spans="1:11" ht="9.75" customHeight="1">
      <c r="A30" s="302"/>
      <c r="B30" s="303"/>
      <c r="C30" s="303"/>
      <c r="D30" s="305"/>
      <c r="E30" s="305"/>
      <c r="F30" s="309"/>
      <c r="G30" s="303"/>
      <c r="H30" s="261"/>
      <c r="I30" s="262"/>
      <c r="J30" s="303"/>
      <c r="K30" s="320"/>
    </row>
    <row r="31" spans="1:11" ht="9.75" customHeight="1">
      <c r="A31" s="302"/>
      <c r="B31" s="303"/>
      <c r="C31" s="303"/>
      <c r="D31" s="305"/>
      <c r="E31" s="305"/>
      <c r="F31" s="309"/>
      <c r="G31" s="303"/>
      <c r="H31" s="261"/>
      <c r="I31" s="262"/>
      <c r="J31" s="303"/>
      <c r="K31" s="320"/>
    </row>
    <row r="32" spans="1:11" ht="21" customHeight="1">
      <c r="A32" s="302"/>
      <c r="B32" s="303"/>
      <c r="C32" s="303"/>
      <c r="D32" s="322"/>
      <c r="E32" s="305"/>
      <c r="F32" s="310"/>
      <c r="G32" s="307"/>
      <c r="H32" s="263"/>
      <c r="I32" s="264"/>
      <c r="J32" s="307"/>
      <c r="K32" s="321"/>
    </row>
    <row r="33" spans="1:11" ht="27.2" customHeight="1">
      <c r="A33" s="137">
        <v>1</v>
      </c>
      <c r="B33" s="251" t="s">
        <v>166</v>
      </c>
      <c r="C33" s="252"/>
      <c r="D33" s="148" t="str">
        <f>VLOOKUP(B33,データ!$B$3:$N$77,2,FALSE)</f>
        <v>RAIL TOP</v>
      </c>
      <c r="E33" s="164" t="s">
        <v>207</v>
      </c>
      <c r="F33" s="149" t="str">
        <f>VLOOKUP(B33,データ!$B$3:$N$73,13,FALSE)</f>
        <v>pcs</v>
      </c>
      <c r="G33" s="151">
        <v>300</v>
      </c>
      <c r="H33" s="253">
        <f>VLOOKUP(B33,データ!B2:D61,3,FALSE)</f>
        <v>6.55</v>
      </c>
      <c r="I33" s="253"/>
      <c r="J33" s="253">
        <f t="shared" ref="J33" si="0">H33*G33</f>
        <v>1965</v>
      </c>
      <c r="K33" s="254"/>
    </row>
    <row r="34" spans="1:11" ht="27.2" customHeight="1">
      <c r="A34" s="137">
        <f>A33+1</f>
        <v>2</v>
      </c>
      <c r="B34" s="251" t="s">
        <v>170</v>
      </c>
      <c r="C34" s="252"/>
      <c r="D34" s="148" t="str">
        <f>VLOOKUP(B34,データ!$B$3:$N$77,2,FALSE)</f>
        <v>RAIL BOTTOM</v>
      </c>
      <c r="E34" s="164" t="s">
        <v>207</v>
      </c>
      <c r="F34" s="149" t="str">
        <f>VLOOKUP(B34,データ!$B$3:$N$73,13,FALSE)</f>
        <v>pcs</v>
      </c>
      <c r="G34" s="151">
        <v>300</v>
      </c>
      <c r="H34" s="253">
        <f>VLOOKUP(B34,データ!B3:D62,3,FALSE)</f>
        <v>9.8800000000000008</v>
      </c>
      <c r="I34" s="253"/>
      <c r="J34" s="253">
        <f t="shared" ref="J34:J40" si="1">H34*G34</f>
        <v>2964.0000000000005</v>
      </c>
      <c r="K34" s="254"/>
    </row>
    <row r="35" spans="1:11" ht="25.5" customHeight="1">
      <c r="A35" s="137">
        <f t="shared" ref="A35:A50" si="2">A34+1</f>
        <v>3</v>
      </c>
      <c r="B35" s="251" t="s">
        <v>161</v>
      </c>
      <c r="C35" s="252"/>
      <c r="D35" s="148" t="str">
        <f>VLOOKUP(B35,データ!$B$3:$N$77,2,FALSE)</f>
        <v>DOOR OUTER SASH R -S500</v>
      </c>
      <c r="E35" s="164" t="s">
        <v>208</v>
      </c>
      <c r="F35" s="149" t="str">
        <f>VLOOKUP(B35,データ!$B$3:$N$73,13,FALSE)</f>
        <v>pcs</v>
      </c>
      <c r="G35" s="151">
        <v>329</v>
      </c>
      <c r="H35" s="253">
        <f>VLOOKUP(B35,データ!B4:D63,3,FALSE)</f>
        <v>11.04</v>
      </c>
      <c r="I35" s="253"/>
      <c r="J35" s="253">
        <f t="shared" si="1"/>
        <v>3632.16</v>
      </c>
      <c r="K35" s="254"/>
    </row>
    <row r="36" spans="1:11" ht="28.5" customHeight="1">
      <c r="A36" s="137">
        <f t="shared" si="2"/>
        <v>4</v>
      </c>
      <c r="B36" s="251" t="s">
        <v>162</v>
      </c>
      <c r="C36" s="252"/>
      <c r="D36" s="148" t="str">
        <f>VLOOKUP(B36,データ!$B$3:$N$77,2,FALSE)</f>
        <v>DOOR OUTER SASH L-S500</v>
      </c>
      <c r="E36" s="164" t="s">
        <v>208</v>
      </c>
      <c r="F36" s="149" t="str">
        <f>VLOOKUP(B36,データ!$B$3:$N$73,13,FALSE)</f>
        <v>pcs</v>
      </c>
      <c r="G36" s="151">
        <v>331</v>
      </c>
      <c r="H36" s="253">
        <f>VLOOKUP(B36,データ!B5:D64,3,FALSE)</f>
        <v>11.04</v>
      </c>
      <c r="I36" s="253"/>
      <c r="J36" s="253">
        <f t="shared" si="1"/>
        <v>3654.24</v>
      </c>
      <c r="K36" s="254"/>
    </row>
    <row r="37" spans="1:11" ht="32.25" customHeight="1">
      <c r="A37" s="137">
        <f t="shared" si="2"/>
        <v>5</v>
      </c>
      <c r="B37" s="251" t="s">
        <v>190</v>
      </c>
      <c r="C37" s="252"/>
      <c r="D37" s="148" t="str">
        <f>VLOOKUP(B37,データ!$B$3:$N$77,2,FALSE)</f>
        <v>DOOR CENTER SASH-S500H</v>
      </c>
      <c r="E37" s="164" t="s">
        <v>209</v>
      </c>
      <c r="F37" s="149" t="str">
        <f>VLOOKUP(B37,データ!$B$3:$N$73,13,FALSE)</f>
        <v>pcs</v>
      </c>
      <c r="G37" s="151">
        <v>640</v>
      </c>
      <c r="H37" s="253">
        <f>VLOOKUP(B37,データ!B6:D65,3,FALSE)</f>
        <v>7.94</v>
      </c>
      <c r="I37" s="253"/>
      <c r="J37" s="253">
        <f t="shared" si="1"/>
        <v>5081.6000000000004</v>
      </c>
      <c r="K37" s="254"/>
    </row>
    <row r="38" spans="1:11" ht="32.25" customHeight="1">
      <c r="A38" s="137">
        <f t="shared" si="2"/>
        <v>6</v>
      </c>
      <c r="B38" s="251" t="s">
        <v>151</v>
      </c>
      <c r="C38" s="252"/>
      <c r="D38" s="148" t="str">
        <f>VLOOKUP(B38,データ!$B$3:$N$77,2,FALSE)</f>
        <v>DOOR UPPER SASH L-S500H</v>
      </c>
      <c r="E38" s="164" t="s">
        <v>208</v>
      </c>
      <c r="F38" s="149" t="str">
        <f>VLOOKUP(B38,データ!$B$3:$N$73,13,FALSE)</f>
        <v>pcs</v>
      </c>
      <c r="G38" s="151">
        <v>300</v>
      </c>
      <c r="H38" s="253">
        <f>VLOOKUP(B38,データ!B7:D66,3,FALSE)</f>
        <v>5.01</v>
      </c>
      <c r="I38" s="253"/>
      <c r="J38" s="253">
        <f t="shared" si="1"/>
        <v>1503</v>
      </c>
      <c r="K38" s="254"/>
    </row>
    <row r="39" spans="1:11" ht="26.25" customHeight="1">
      <c r="A39" s="137">
        <f t="shared" si="2"/>
        <v>7</v>
      </c>
      <c r="B39" s="251" t="s">
        <v>152</v>
      </c>
      <c r="C39" s="252"/>
      <c r="D39" s="148" t="str">
        <f>VLOOKUP(B39,データ!$B$3:$N$77,2,FALSE)</f>
        <v>DOOR UPPER SASH R-S500H</v>
      </c>
      <c r="E39" s="164" t="s">
        <v>207</v>
      </c>
      <c r="F39" s="149" t="str">
        <f>VLOOKUP(B39,データ!$B$3:$N$73,13,FALSE)</f>
        <v>pcs</v>
      </c>
      <c r="G39" s="151">
        <v>300</v>
      </c>
      <c r="H39" s="253">
        <f>VLOOKUP(B39,データ!B8:D67,3,FALSE)</f>
        <v>5.01</v>
      </c>
      <c r="I39" s="253"/>
      <c r="J39" s="253">
        <f t="shared" si="1"/>
        <v>1503</v>
      </c>
      <c r="K39" s="254"/>
    </row>
    <row r="40" spans="1:11" ht="26.25" customHeight="1">
      <c r="A40" s="137">
        <f t="shared" si="2"/>
        <v>8</v>
      </c>
      <c r="B40" s="251" t="s">
        <v>150</v>
      </c>
      <c r="C40" s="252"/>
      <c r="D40" s="148" t="str">
        <f>VLOOKUP(B40,データ!$B$3:$N$77,2,FALSE)</f>
        <v>DOOR UPPER SASH L-S150H</v>
      </c>
      <c r="E40" s="164" t="s">
        <v>208</v>
      </c>
      <c r="F40" s="149" t="str">
        <f>VLOOKUP(B40,データ!$B$3:$N$73,13,FALSE)</f>
        <v>pcs</v>
      </c>
      <c r="G40" s="151">
        <v>300</v>
      </c>
      <c r="H40" s="253">
        <f>VLOOKUP(B40,データ!B9:D68,3,FALSE)</f>
        <v>4.59</v>
      </c>
      <c r="I40" s="253"/>
      <c r="J40" s="253">
        <f t="shared" si="1"/>
        <v>1377</v>
      </c>
      <c r="K40" s="254"/>
    </row>
    <row r="41" spans="1:11" ht="26.25" customHeight="1">
      <c r="A41" s="137">
        <f t="shared" si="2"/>
        <v>9</v>
      </c>
      <c r="B41" s="251" t="s">
        <v>149</v>
      </c>
      <c r="C41" s="252"/>
      <c r="D41" s="148" t="str">
        <f>VLOOKUP(B41,データ!$B$3:$N$77,2,FALSE)</f>
        <v>DOOR UPPER SASH R-S150H</v>
      </c>
      <c r="E41" s="164" t="s">
        <v>208</v>
      </c>
      <c r="F41" s="149" t="str">
        <f>VLOOKUP(B41,データ!$B$3:$N$73,13,FALSE)</f>
        <v>pcs</v>
      </c>
      <c r="G41" s="151">
        <v>300</v>
      </c>
      <c r="H41" s="253">
        <f>VLOOKUP(B41,データ!B10:D69,3,FALSE)</f>
        <v>4.59</v>
      </c>
      <c r="I41" s="253"/>
      <c r="J41" s="253">
        <f t="shared" ref="J41:J43" si="3">H41*G41</f>
        <v>1377</v>
      </c>
      <c r="K41" s="254"/>
    </row>
    <row r="42" spans="1:11" ht="26.25" customHeight="1">
      <c r="A42" s="137">
        <f t="shared" si="2"/>
        <v>10</v>
      </c>
      <c r="B42" s="251" t="s">
        <v>39</v>
      </c>
      <c r="C42" s="252"/>
      <c r="D42" s="148" t="str">
        <f>VLOOKUP(B42,データ!$B$3:$N$77,2,FALSE)</f>
        <v>DOOR LOWER SASH L-S500H</v>
      </c>
      <c r="E42" s="164" t="s">
        <v>208</v>
      </c>
      <c r="F42" s="149" t="str">
        <f>VLOOKUP(B42,データ!$B$3:$N$73,13,FALSE)</f>
        <v>pcs</v>
      </c>
      <c r="G42" s="151">
        <v>300</v>
      </c>
      <c r="H42" s="253">
        <f>VLOOKUP(B42,データ!B11:D70,3,FALSE)</f>
        <v>6.6</v>
      </c>
      <c r="I42" s="253"/>
      <c r="J42" s="253">
        <f t="shared" si="3"/>
        <v>1980</v>
      </c>
      <c r="K42" s="254"/>
    </row>
    <row r="43" spans="1:11" ht="26.25" customHeight="1">
      <c r="A43" s="137">
        <f t="shared" si="2"/>
        <v>11</v>
      </c>
      <c r="B43" s="251" t="s">
        <v>40</v>
      </c>
      <c r="C43" s="252"/>
      <c r="D43" s="148" t="str">
        <f>VLOOKUP(B43,データ!$B$3:$N$77,2,FALSE)</f>
        <v xml:space="preserve"> DOOR LOWER SASH R-S500H</v>
      </c>
      <c r="E43" s="164" t="s">
        <v>208</v>
      </c>
      <c r="F43" s="149" t="str">
        <f>VLOOKUP(B43,データ!$B$3:$N$73,13,FALSE)</f>
        <v>pcs</v>
      </c>
      <c r="G43" s="151">
        <v>300</v>
      </c>
      <c r="H43" s="253">
        <f>VLOOKUP(B43,データ!B12:D71,3,FALSE)</f>
        <v>7.61</v>
      </c>
      <c r="I43" s="253"/>
      <c r="J43" s="253">
        <f t="shared" si="3"/>
        <v>2283</v>
      </c>
      <c r="K43" s="254"/>
    </row>
    <row r="44" spans="1:11" ht="31.5" customHeight="1">
      <c r="A44" s="137">
        <f t="shared" si="2"/>
        <v>12</v>
      </c>
      <c r="B44" s="251" t="s">
        <v>181</v>
      </c>
      <c r="C44" s="252"/>
      <c r="D44" s="148" t="str">
        <f>VLOOKUP(B44,データ!$B$3:$N$77,2,FALSE)</f>
        <v>DOOR LOWER SASH L</v>
      </c>
      <c r="E44" s="164" t="s">
        <v>211</v>
      </c>
      <c r="F44" s="149" t="str">
        <f>VLOOKUP(B44,データ!$B$3:$N$73,13,FALSE)</f>
        <v>pcs</v>
      </c>
      <c r="G44" s="151">
        <v>323</v>
      </c>
      <c r="H44" s="253">
        <f>VLOOKUP(B44,データ!B13:D72,3,FALSE)</f>
        <v>13.28</v>
      </c>
      <c r="I44" s="253"/>
      <c r="J44" s="253">
        <f t="shared" ref="J44:J45" si="4">H44*G44</f>
        <v>4289.4399999999996</v>
      </c>
      <c r="K44" s="254"/>
    </row>
    <row r="45" spans="1:11" ht="26.25" customHeight="1">
      <c r="A45" s="137">
        <f t="shared" si="2"/>
        <v>13</v>
      </c>
      <c r="B45" s="251" t="s">
        <v>182</v>
      </c>
      <c r="C45" s="252"/>
      <c r="D45" s="148" t="str">
        <f>VLOOKUP(B45,データ!$B$3:$N$77,2,FALSE)</f>
        <v xml:space="preserve"> DOOR LOWER SASH R</v>
      </c>
      <c r="E45" s="164" t="s">
        <v>212</v>
      </c>
      <c r="F45" s="149" t="str">
        <f>VLOOKUP(B45,データ!$B$3:$N$73,13,FALSE)</f>
        <v>pcs</v>
      </c>
      <c r="G45" s="151">
        <v>6</v>
      </c>
      <c r="H45" s="253">
        <f>VLOOKUP(B45,データ!B14:D73,3,FALSE)</f>
        <v>12.36</v>
      </c>
      <c r="I45" s="253"/>
      <c r="J45" s="253">
        <f t="shared" si="4"/>
        <v>74.16</v>
      </c>
      <c r="K45" s="254"/>
    </row>
    <row r="46" spans="1:11" ht="26.25" customHeight="1">
      <c r="A46" s="137">
        <f t="shared" si="2"/>
        <v>14</v>
      </c>
      <c r="B46" s="251" t="s">
        <v>206</v>
      </c>
      <c r="C46" s="252"/>
      <c r="D46" s="148" t="str">
        <f>VLOOKUP(B46,データ!$B$3:$N$77,2,FALSE)</f>
        <v>DOOR CENTER SASH</v>
      </c>
      <c r="E46" s="164" t="s">
        <v>214</v>
      </c>
      <c r="F46" s="149" t="str">
        <f>VLOOKUP(B46,データ!$B$3:$N$73,13,FALSE)</f>
        <v>pcs</v>
      </c>
      <c r="G46" s="151">
        <v>13</v>
      </c>
      <c r="H46" s="253">
        <f>VLOOKUP(B46,データ!B15:D74,3,FALSE)</f>
        <v>4.2699999999999996</v>
      </c>
      <c r="I46" s="253"/>
      <c r="J46" s="253">
        <f t="shared" ref="J46" si="5">H46*G46</f>
        <v>55.509999999999991</v>
      </c>
      <c r="K46" s="254"/>
    </row>
    <row r="47" spans="1:11" ht="26.25" customHeight="1">
      <c r="A47" s="137">
        <f t="shared" si="2"/>
        <v>15</v>
      </c>
      <c r="B47" s="251" t="s">
        <v>35</v>
      </c>
      <c r="C47" s="252"/>
      <c r="D47" s="148" t="str">
        <f>VLOOKUP(B47,データ!$B$3:$N$77,2,FALSE)</f>
        <v xml:space="preserve"> LIGHT COVER-S500H</v>
      </c>
      <c r="E47" s="164" t="s">
        <v>208</v>
      </c>
      <c r="F47" s="149" t="str">
        <f>VLOOKUP(B47,データ!$B$3:$N$73,13,FALSE)</f>
        <v>pcs</v>
      </c>
      <c r="G47" s="151">
        <v>300</v>
      </c>
      <c r="H47" s="253">
        <f>VLOOKUP(B47,データ!B16:D75,3,FALSE)</f>
        <v>2.81</v>
      </c>
      <c r="I47" s="253"/>
      <c r="J47" s="253">
        <f t="shared" ref="J47" si="6">H47*G47</f>
        <v>843</v>
      </c>
      <c r="K47" s="254"/>
    </row>
    <row r="48" spans="1:11" ht="30.75" customHeight="1">
      <c r="A48" s="137">
        <f t="shared" si="2"/>
        <v>16</v>
      </c>
      <c r="B48" s="251" t="s">
        <v>179</v>
      </c>
      <c r="C48" s="252"/>
      <c r="D48" s="148" t="str">
        <f>VLOOKUP(B48,データ!$B$3:$N$77,2,FALSE)</f>
        <v>RAIL SIDE R</v>
      </c>
      <c r="E48" s="164" t="s">
        <v>210</v>
      </c>
      <c r="F48" s="149" t="str">
        <f>VLOOKUP(B48,データ!$B$3:$N$73,13,FALSE)</f>
        <v>pcs</v>
      </c>
      <c r="G48" s="151">
        <v>320</v>
      </c>
      <c r="H48" s="253">
        <f>VLOOKUP(B48,データ!B16:D75,3,FALSE)</f>
        <v>10.48</v>
      </c>
      <c r="I48" s="253"/>
      <c r="J48" s="253">
        <f t="shared" ref="J48:J49" si="7">H48*G48</f>
        <v>3353.6000000000004</v>
      </c>
      <c r="K48" s="254"/>
    </row>
    <row r="49" spans="1:11" ht="30.75" customHeight="1">
      <c r="A49" s="137">
        <f t="shared" si="2"/>
        <v>17</v>
      </c>
      <c r="B49" s="251" t="s">
        <v>184</v>
      </c>
      <c r="C49" s="252"/>
      <c r="D49" s="148" t="str">
        <f>VLOOKUP(B49,データ!$B$3:$N$77,2,FALSE)</f>
        <v>RAIL TOP S1200H</v>
      </c>
      <c r="E49" s="164" t="s">
        <v>213</v>
      </c>
      <c r="F49" s="149" t="str">
        <f>VLOOKUP(B49,データ!$B$3:$N$73,13,FALSE)</f>
        <v>pcs</v>
      </c>
      <c r="G49" s="151">
        <v>80</v>
      </c>
      <c r="H49" s="253">
        <f>VLOOKUP(B49,データ!B17:D76,3,FALSE)</f>
        <v>15.07</v>
      </c>
      <c r="I49" s="253"/>
      <c r="J49" s="253">
        <f t="shared" si="7"/>
        <v>1205.5999999999999</v>
      </c>
      <c r="K49" s="254"/>
    </row>
    <row r="50" spans="1:11" ht="30.75" customHeight="1">
      <c r="A50" s="137">
        <f t="shared" si="2"/>
        <v>18</v>
      </c>
      <c r="B50" s="251"/>
      <c r="C50" s="252"/>
      <c r="D50" s="148"/>
      <c r="E50" s="164"/>
      <c r="F50" s="149"/>
      <c r="G50" s="151"/>
      <c r="H50" s="253"/>
      <c r="I50" s="253"/>
      <c r="J50" s="253"/>
      <c r="K50" s="254"/>
    </row>
    <row r="51" spans="1:11" ht="24.75" customHeight="1" thickBot="1">
      <c r="A51" s="248" t="s">
        <v>54</v>
      </c>
      <c r="B51" s="249"/>
      <c r="C51" s="249"/>
      <c r="D51" s="249"/>
      <c r="E51" s="249"/>
      <c r="F51" s="249"/>
      <c r="G51" s="249"/>
      <c r="H51" s="249"/>
      <c r="I51" s="250"/>
      <c r="J51" s="245">
        <f>SUM(J33:K50)</f>
        <v>37141.31</v>
      </c>
      <c r="K51" s="246"/>
    </row>
    <row r="52" spans="1:11" ht="13.5" customHeight="1"/>
    <row r="53" spans="1:11" ht="24.75" customHeight="1">
      <c r="A53" s="247" t="s">
        <v>55</v>
      </c>
      <c r="B53" s="247"/>
      <c r="C53" s="247"/>
      <c r="D53" s="247"/>
      <c r="E53" s="247"/>
      <c r="H53" s="244" t="s">
        <v>56</v>
      </c>
      <c r="I53" s="244"/>
      <c r="J53" s="244"/>
      <c r="K53" s="65"/>
    </row>
    <row r="54" spans="1:11" ht="20.100000000000001" customHeight="1">
      <c r="A54" s="144" t="s">
        <v>57</v>
      </c>
      <c r="B54" s="144"/>
      <c r="C54" s="144"/>
      <c r="D54" s="144"/>
      <c r="E54" s="139"/>
      <c r="F54" s="18"/>
      <c r="G54" s="18"/>
      <c r="H54" s="18"/>
      <c r="I54" s="18"/>
    </row>
    <row r="55" spans="1:11" ht="93.75" customHeight="1">
      <c r="A55" s="18"/>
      <c r="B55" s="18"/>
      <c r="C55" s="18"/>
      <c r="D55" s="136"/>
      <c r="E55" s="136"/>
      <c r="F55" s="18"/>
      <c r="G55" s="18"/>
      <c r="H55" s="18"/>
      <c r="I55" s="18"/>
    </row>
    <row r="56" spans="1:11" ht="65.25" customHeight="1">
      <c r="A56" s="18"/>
      <c r="B56" s="18"/>
      <c r="C56" s="18"/>
      <c r="D56" s="139"/>
      <c r="E56" s="139"/>
      <c r="F56" s="18"/>
      <c r="G56" s="18"/>
      <c r="H56" s="18"/>
      <c r="I56" s="18"/>
    </row>
  </sheetData>
  <mergeCells count="82">
    <mergeCell ref="J46:K46"/>
    <mergeCell ref="B47:C47"/>
    <mergeCell ref="H47:I47"/>
    <mergeCell ref="J47:K47"/>
    <mergeCell ref="J41:K41"/>
    <mergeCell ref="J42:K42"/>
    <mergeCell ref="J43:K43"/>
    <mergeCell ref="J44:K44"/>
    <mergeCell ref="J45:K45"/>
    <mergeCell ref="H45:I45"/>
    <mergeCell ref="H46:I46"/>
    <mergeCell ref="J48:K48"/>
    <mergeCell ref="B39:C39"/>
    <mergeCell ref="H39:I39"/>
    <mergeCell ref="J39:K39"/>
    <mergeCell ref="H48:I48"/>
    <mergeCell ref="B48:C48"/>
    <mergeCell ref="B41:C41"/>
    <mergeCell ref="B42:C42"/>
    <mergeCell ref="B43:C43"/>
    <mergeCell ref="B44:C44"/>
    <mergeCell ref="B45:C45"/>
    <mergeCell ref="B46:C46"/>
    <mergeCell ref="H41:I41"/>
    <mergeCell ref="H42:I42"/>
    <mergeCell ref="H43:I43"/>
    <mergeCell ref="H44:I44"/>
    <mergeCell ref="B38:C38"/>
    <mergeCell ref="J34:K34"/>
    <mergeCell ref="J38:K38"/>
    <mergeCell ref="B40:C40"/>
    <mergeCell ref="B34:C34"/>
    <mergeCell ref="H38:I38"/>
    <mergeCell ref="H40:I40"/>
    <mergeCell ref="J40:K40"/>
    <mergeCell ref="H36:I36"/>
    <mergeCell ref="B35:C35"/>
    <mergeCell ref="B36:C36"/>
    <mergeCell ref="J37:K37"/>
    <mergeCell ref="B37:C37"/>
    <mergeCell ref="H37:I37"/>
    <mergeCell ref="J36:K36"/>
    <mergeCell ref="J35:K35"/>
    <mergeCell ref="C23:F23"/>
    <mergeCell ref="A24:G24"/>
    <mergeCell ref="A25:G25"/>
    <mergeCell ref="J29:K32"/>
    <mergeCell ref="B33:C33"/>
    <mergeCell ref="D29:D32"/>
    <mergeCell ref="H35:I35"/>
    <mergeCell ref="H33:I33"/>
    <mergeCell ref="J33:K33"/>
    <mergeCell ref="E29:E32"/>
    <mergeCell ref="G29:G32"/>
    <mergeCell ref="F29:F32"/>
    <mergeCell ref="H34:I34"/>
    <mergeCell ref="A1:L4"/>
    <mergeCell ref="H13:K13"/>
    <mergeCell ref="H29:I32"/>
    <mergeCell ref="H7:K9"/>
    <mergeCell ref="H10:I11"/>
    <mergeCell ref="J10:K11"/>
    <mergeCell ref="H12:I12"/>
    <mergeCell ref="J12:K12"/>
    <mergeCell ref="F12:G12"/>
    <mergeCell ref="F13:G13"/>
    <mergeCell ref="F22:G22"/>
    <mergeCell ref="H14:K18"/>
    <mergeCell ref="F21:G21"/>
    <mergeCell ref="A26:G26"/>
    <mergeCell ref="A27:G27"/>
    <mergeCell ref="A29:C32"/>
    <mergeCell ref="H53:J53"/>
    <mergeCell ref="J51:K51"/>
    <mergeCell ref="A53:E53"/>
    <mergeCell ref="A51:I51"/>
    <mergeCell ref="B49:C49"/>
    <mergeCell ref="B50:C50"/>
    <mergeCell ref="H49:I49"/>
    <mergeCell ref="H50:I50"/>
    <mergeCell ref="J49:K49"/>
    <mergeCell ref="J50:K50"/>
  </mergeCells>
  <phoneticPr fontId="1"/>
  <pageMargins left="0.44" right="0.16" top="0.18" bottom="0.16" header="0.2" footer="0.16"/>
  <pageSetup paperSize="9" scale="7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データ!$B$3:$B$81</xm:f>
          </x14:formula1>
          <xm:sqref>B33:B50</xm:sqref>
        </x14:dataValidation>
        <x14:dataValidation type="list" allowBlank="1" showInputMessage="1" showErrorMessage="1" xr:uid="{00000000-0002-0000-0000-000000000000}">
          <x14:formula1>
            <xm:f>データ!$B$3:$B$37</xm:f>
          </x14:formula1>
          <xm:sqref>B33:B50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86"/>
  <sheetViews>
    <sheetView view="pageBreakPreview" topLeftCell="A46" zoomScale="80" zoomScaleNormal="115" zoomScaleSheetLayoutView="80" workbookViewId="0">
      <selection activeCell="X23" sqref="X23"/>
    </sheetView>
  </sheetViews>
  <sheetFormatPr defaultColWidth="9" defaultRowHeight="15"/>
  <cols>
    <col min="1" max="1" width="6.375" style="38" customWidth="1"/>
    <col min="2" max="2" width="9" style="38"/>
    <col min="3" max="3" width="20.375" style="38" customWidth="1"/>
    <col min="4" max="4" width="28.875" style="38" customWidth="1"/>
    <col min="5" max="5" width="17.625" style="38" customWidth="1"/>
    <col min="6" max="6" width="6" style="38" bestFit="1" customWidth="1"/>
    <col min="7" max="7" width="10.375" style="38" customWidth="1"/>
    <col min="8" max="8" width="2.375" style="38" customWidth="1"/>
    <col min="9" max="9" width="11.375" style="38" customWidth="1"/>
    <col min="10" max="10" width="10.125" style="38" customWidth="1"/>
    <col min="11" max="11" width="13.375" style="38" customWidth="1"/>
    <col min="12" max="12" width="12.375" style="38" customWidth="1"/>
    <col min="13" max="13" width="12.5" style="38" bestFit="1" customWidth="1"/>
    <col min="14" max="14" width="7.125" style="38" bestFit="1" customWidth="1"/>
    <col min="15" max="15" width="3.875" style="38" bestFit="1" customWidth="1"/>
    <col min="16" max="16" width="4.875" style="38" bestFit="1" customWidth="1"/>
    <col min="17" max="17" width="11.625" style="38" hidden="1" customWidth="1"/>
    <col min="18" max="18" width="10.375" style="38" hidden="1" customWidth="1"/>
    <col min="19" max="19" width="0" style="38" hidden="1" customWidth="1"/>
    <col min="20" max="20" width="8.125" style="38" bestFit="1" customWidth="1"/>
    <col min="21" max="21" width="10" style="38" bestFit="1" customWidth="1"/>
    <col min="22" max="16384" width="9" style="38"/>
  </cols>
  <sheetData>
    <row r="1" spans="1:14" ht="15" customHeight="1">
      <c r="A1" s="337" t="s">
        <v>58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</row>
    <row r="2" spans="1:14" ht="9.1999999999999993" customHeight="1">
      <c r="A2" s="337"/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</row>
    <row r="3" spans="1:14" ht="3" customHeight="1">
      <c r="A3" s="337"/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</row>
    <row r="4" spans="1:14" ht="4.5" customHeight="1">
      <c r="A4" s="337"/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</row>
    <row r="5" spans="1:14">
      <c r="I5" s="363" t="str">
        <f>INVOICE!H5</f>
        <v>インボイス作成日（Date): 24/11/2025</v>
      </c>
      <c r="J5" s="363"/>
      <c r="K5" s="363"/>
      <c r="L5" s="363"/>
      <c r="M5" s="363"/>
    </row>
    <row r="7" spans="1:14" ht="9.75" customHeight="1" thickBot="1"/>
    <row r="8" spans="1:14" ht="14.25" customHeight="1">
      <c r="A8" s="176" t="s">
        <v>1</v>
      </c>
      <c r="B8" s="177"/>
      <c r="C8" s="177"/>
      <c r="D8" s="177"/>
      <c r="E8" s="177"/>
      <c r="F8" s="177"/>
      <c r="G8" s="177"/>
      <c r="H8" s="178"/>
      <c r="I8" s="341" t="str">
        <f>INVOICE!H7</f>
        <v>Invoice No
[Invoice No]</v>
      </c>
      <c r="J8" s="342"/>
      <c r="K8" s="342"/>
      <c r="L8" s="342"/>
      <c r="M8" s="342"/>
    </row>
    <row r="9" spans="1:14" ht="6.75" customHeight="1">
      <c r="A9" s="180"/>
      <c r="H9" s="181"/>
      <c r="I9" s="343"/>
      <c r="J9" s="344"/>
      <c r="K9" s="344"/>
      <c r="L9" s="344"/>
      <c r="M9" s="344"/>
    </row>
    <row r="10" spans="1:14" ht="12.75" customHeight="1">
      <c r="A10" s="182" t="s">
        <v>2</v>
      </c>
      <c r="B10" s="183"/>
      <c r="C10" s="183"/>
      <c r="D10" s="183"/>
      <c r="E10" s="183"/>
      <c r="F10" s="183"/>
      <c r="G10" s="184"/>
      <c r="H10" s="181"/>
      <c r="I10" s="343"/>
      <c r="J10" s="344"/>
      <c r="K10" s="344"/>
      <c r="L10" s="344"/>
      <c r="M10" s="344"/>
    </row>
    <row r="11" spans="1:14" ht="15" customHeight="1">
      <c r="A11" s="185" t="s">
        <v>3</v>
      </c>
      <c r="B11" s="186"/>
      <c r="C11" s="186"/>
      <c r="D11" s="186"/>
      <c r="E11" s="186"/>
      <c r="F11" s="183"/>
      <c r="G11" s="187"/>
      <c r="H11" s="181"/>
      <c r="I11" s="364" t="s">
        <v>59</v>
      </c>
      <c r="J11" s="365"/>
      <c r="K11" s="366"/>
      <c r="L11" s="364" t="s">
        <v>5</v>
      </c>
      <c r="M11" s="365"/>
      <c r="N11" s="242"/>
    </row>
    <row r="12" spans="1:14">
      <c r="A12" s="185" t="s">
        <v>204</v>
      </c>
      <c r="B12" s="186"/>
      <c r="C12" s="186"/>
      <c r="D12" s="186"/>
      <c r="E12" s="186"/>
      <c r="F12" s="183"/>
      <c r="G12" s="187"/>
      <c r="H12" s="181"/>
      <c r="I12" s="367"/>
      <c r="J12" s="368"/>
      <c r="K12" s="369"/>
      <c r="L12" s="367"/>
      <c r="M12" s="368"/>
      <c r="N12" s="242"/>
    </row>
    <row r="13" spans="1:14">
      <c r="A13" s="185" t="s">
        <v>7</v>
      </c>
      <c r="B13" s="186"/>
      <c r="C13" s="186"/>
      <c r="D13" s="186"/>
      <c r="E13" s="186"/>
      <c r="F13" s="188"/>
      <c r="G13" s="189"/>
      <c r="H13" s="181"/>
      <c r="I13" s="372" t="s">
        <v>8</v>
      </c>
      <c r="J13" s="373"/>
      <c r="K13" s="374"/>
      <c r="L13" s="372" t="s">
        <v>60</v>
      </c>
      <c r="M13" s="373"/>
      <c r="N13" s="243"/>
    </row>
    <row r="14" spans="1:14">
      <c r="A14" s="185" t="s">
        <v>10</v>
      </c>
      <c r="B14" s="186"/>
      <c r="F14" s="190"/>
      <c r="G14" s="191"/>
      <c r="H14" s="181"/>
      <c r="I14" s="345" t="s">
        <v>11</v>
      </c>
      <c r="J14" s="345"/>
      <c r="K14" s="345"/>
      <c r="L14" s="346"/>
      <c r="M14" s="346"/>
    </row>
    <row r="15" spans="1:14" ht="6" customHeight="1">
      <c r="A15" s="185"/>
      <c r="B15" s="186"/>
      <c r="F15" s="191"/>
      <c r="G15" s="191"/>
      <c r="H15" s="181"/>
      <c r="I15" s="349" t="str">
        <f>INVOICE!H14</f>
        <v>Invoice will be closed on delivery day and payment after 60days</v>
      </c>
      <c r="J15" s="350"/>
      <c r="K15" s="350"/>
      <c r="L15" s="350"/>
      <c r="M15" s="350"/>
    </row>
    <row r="16" spans="1:14" ht="9.1999999999999993" customHeight="1">
      <c r="A16" s="192"/>
      <c r="B16" s="193"/>
      <c r="C16" s="193"/>
      <c r="D16" s="193"/>
      <c r="E16" s="193"/>
      <c r="F16" s="193"/>
      <c r="G16" s="193"/>
      <c r="H16" s="194"/>
      <c r="I16" s="349"/>
      <c r="J16" s="350"/>
      <c r="K16" s="350"/>
      <c r="L16" s="350"/>
      <c r="M16" s="350"/>
    </row>
    <row r="17" spans="1:21">
      <c r="A17" s="195" t="s">
        <v>13</v>
      </c>
      <c r="B17" s="196"/>
      <c r="C17" s="196"/>
      <c r="D17" s="196"/>
      <c r="E17" s="196"/>
      <c r="F17" s="196"/>
      <c r="G17" s="196"/>
      <c r="H17" s="181"/>
      <c r="I17" s="351"/>
      <c r="J17" s="352"/>
      <c r="K17" s="352"/>
      <c r="L17" s="352"/>
      <c r="M17" s="352"/>
    </row>
    <row r="18" spans="1:21" ht="15" hidden="1" customHeight="1">
      <c r="A18" s="197"/>
      <c r="H18" s="198"/>
      <c r="I18" s="193"/>
      <c r="J18" s="193"/>
      <c r="K18" s="199"/>
      <c r="L18" s="179"/>
    </row>
    <row r="19" spans="1:21" ht="6" customHeight="1">
      <c r="A19" s="197"/>
      <c r="H19" s="181"/>
      <c r="K19" s="196"/>
    </row>
    <row r="20" spans="1:21" ht="20.25">
      <c r="A20" s="200" t="s">
        <v>14</v>
      </c>
      <c r="B20" s="186"/>
      <c r="C20" s="186"/>
      <c r="D20" s="186"/>
      <c r="E20" s="186"/>
      <c r="H20" s="181"/>
      <c r="I20" s="38" t="s">
        <v>16</v>
      </c>
    </row>
    <row r="21" spans="1:21">
      <c r="A21" s="180" t="str">
        <f>INVOICE!A19</f>
        <v xml:space="preserve">KAWASAN INDUSTRIAL EJIP PLOT 1E-2  SUKARESMI CIKARANG SELATAN </v>
      </c>
      <c r="B21" s="186"/>
      <c r="C21" s="186"/>
      <c r="D21" s="186"/>
      <c r="E21" s="186"/>
      <c r="H21" s="181"/>
      <c r="I21" s="232" t="s">
        <v>198</v>
      </c>
      <c r="J21" s="233" t="s">
        <v>199</v>
      </c>
    </row>
    <row r="22" spans="1:21">
      <c r="A22" s="185">
        <f>INVOICE!A20</f>
        <v>0</v>
      </c>
      <c r="B22" s="186"/>
      <c r="C22" s="186"/>
      <c r="D22" s="186"/>
      <c r="E22" s="186"/>
      <c r="H22" s="181"/>
      <c r="I22" s="234"/>
      <c r="J22" s="233" t="s">
        <v>200</v>
      </c>
    </row>
    <row r="23" spans="1:21">
      <c r="A23" s="392" t="s">
        <v>18</v>
      </c>
      <c r="B23" s="393"/>
      <c r="C23" s="393"/>
      <c r="D23" s="393"/>
      <c r="E23" s="201"/>
      <c r="F23" s="188"/>
      <c r="G23" s="188"/>
      <c r="H23" s="181"/>
      <c r="I23" s="5"/>
      <c r="J23" s="5"/>
      <c r="M23" s="179"/>
    </row>
    <row r="24" spans="1:21" ht="14.25" customHeight="1">
      <c r="A24" s="347"/>
      <c r="B24" s="348"/>
      <c r="C24" s="348"/>
      <c r="D24" s="186"/>
      <c r="E24" s="186"/>
      <c r="F24" s="188"/>
      <c r="G24" s="189"/>
      <c r="H24" s="181"/>
      <c r="I24" s="234"/>
      <c r="J24" s="155" t="s">
        <v>201</v>
      </c>
      <c r="M24" s="179"/>
    </row>
    <row r="25" spans="1:21" ht="12.75" customHeight="1">
      <c r="A25" s="202"/>
      <c r="B25" s="203"/>
      <c r="C25" s="410"/>
      <c r="D25" s="410"/>
      <c r="E25" s="410"/>
      <c r="F25" s="410"/>
      <c r="G25" s="193"/>
      <c r="H25" s="194"/>
      <c r="I25" s="234"/>
      <c r="J25" s="155" t="s">
        <v>202</v>
      </c>
      <c r="M25" s="179"/>
    </row>
    <row r="26" spans="1:21">
      <c r="A26" s="398" t="s">
        <v>21</v>
      </c>
      <c r="B26" s="399"/>
      <c r="C26" s="399"/>
      <c r="D26" s="399"/>
      <c r="E26" s="399"/>
      <c r="F26" s="399"/>
      <c r="G26" s="399"/>
      <c r="H26" s="399"/>
      <c r="I26" s="234"/>
      <c r="J26" s="155" t="s">
        <v>203</v>
      </c>
      <c r="M26" s="179"/>
    </row>
    <row r="27" spans="1:21" ht="15" customHeight="1">
      <c r="A27" s="400" t="s">
        <v>205</v>
      </c>
      <c r="B27" s="401"/>
      <c r="C27" s="401"/>
      <c r="D27" s="401"/>
      <c r="E27" s="401"/>
      <c r="F27" s="401"/>
      <c r="G27" s="401"/>
      <c r="H27" s="401"/>
      <c r="I27" s="235"/>
      <c r="M27" s="179"/>
    </row>
    <row r="28" spans="1:21">
      <c r="A28" s="402" t="s">
        <v>25</v>
      </c>
      <c r="B28" s="403"/>
      <c r="C28" s="403"/>
      <c r="D28" s="403"/>
      <c r="E28" s="403"/>
      <c r="F28" s="403"/>
      <c r="G28" s="403"/>
      <c r="H28" s="404"/>
      <c r="I28" s="204"/>
      <c r="M28" s="179"/>
    </row>
    <row r="29" spans="1:21" ht="15.75" thickBot="1">
      <c r="A29" s="394" t="str">
        <f>INVOICE!A27</f>
        <v>JAKARTA INDONESIA</v>
      </c>
      <c r="B29" s="395"/>
      <c r="C29" s="395"/>
      <c r="D29" s="395"/>
      <c r="E29" s="395"/>
      <c r="F29" s="395"/>
      <c r="G29" s="395"/>
      <c r="H29" s="396"/>
      <c r="I29" s="205"/>
      <c r="J29" s="206"/>
      <c r="K29" s="206"/>
      <c r="L29" s="206"/>
      <c r="M29" s="207"/>
    </row>
    <row r="30" spans="1:21" ht="9.75" customHeight="1" thickBot="1">
      <c r="A30" s="208"/>
      <c r="B30" s="209"/>
      <c r="C30" s="209"/>
      <c r="D30" s="209"/>
      <c r="E30" s="209"/>
      <c r="F30" s="209"/>
      <c r="G30" s="67"/>
    </row>
    <row r="31" spans="1:21" ht="14.1" customHeight="1">
      <c r="A31" s="355" t="str">
        <f>INVOICE!A29</f>
        <v>品番
( Part No)</v>
      </c>
      <c r="B31" s="356"/>
      <c r="C31" s="356"/>
      <c r="D31" s="360" t="str">
        <f>INVOICE!D29</f>
        <v>品名
(Part Name)</v>
      </c>
      <c r="E31" s="360" t="s">
        <v>30</v>
      </c>
      <c r="F31" s="338" t="s">
        <v>66</v>
      </c>
      <c r="G31" s="397" t="s">
        <v>32</v>
      </c>
      <c r="H31" s="376" t="s">
        <v>67</v>
      </c>
      <c r="I31" s="405"/>
      <c r="J31" s="360" t="s">
        <v>68</v>
      </c>
      <c r="K31" s="376" t="s">
        <v>69</v>
      </c>
      <c r="L31" s="370" t="s">
        <v>70</v>
      </c>
      <c r="M31" s="353" t="s">
        <v>71</v>
      </c>
      <c r="R31" s="238"/>
    </row>
    <row r="32" spans="1:21" ht="9.75" customHeight="1">
      <c r="A32" s="357"/>
      <c r="B32" s="323"/>
      <c r="C32" s="323"/>
      <c r="D32" s="361"/>
      <c r="E32" s="408"/>
      <c r="F32" s="339"/>
      <c r="G32" s="323"/>
      <c r="H32" s="406"/>
      <c r="I32" s="407"/>
      <c r="J32" s="361"/>
      <c r="K32" s="377"/>
      <c r="L32" s="371"/>
      <c r="M32" s="354"/>
      <c r="N32" s="34"/>
      <c r="O32" s="34"/>
      <c r="P32" s="34"/>
      <c r="Q32" s="34"/>
      <c r="R32" s="34"/>
      <c r="S32" s="34"/>
      <c r="T32" s="34"/>
      <c r="U32" s="34"/>
    </row>
    <row r="33" spans="1:21" ht="11.25" customHeight="1">
      <c r="A33" s="357"/>
      <c r="B33" s="323"/>
      <c r="C33" s="323"/>
      <c r="D33" s="361"/>
      <c r="E33" s="408"/>
      <c r="F33" s="339"/>
      <c r="G33" s="323"/>
      <c r="H33" s="406"/>
      <c r="I33" s="407"/>
      <c r="J33" s="361"/>
      <c r="K33" s="377"/>
      <c r="L33" s="371"/>
      <c r="M33" s="354"/>
      <c r="N33" s="34"/>
      <c r="O33" s="35"/>
      <c r="P33" s="35"/>
      <c r="Q33" s="35"/>
      <c r="R33" s="36"/>
      <c r="S33" s="37"/>
      <c r="T33" s="37"/>
      <c r="U33" s="37"/>
    </row>
    <row r="34" spans="1:21">
      <c r="A34" s="358"/>
      <c r="B34" s="359"/>
      <c r="C34" s="359"/>
      <c r="D34" s="362"/>
      <c r="E34" s="409"/>
      <c r="F34" s="340"/>
      <c r="G34" s="359"/>
      <c r="H34" s="406"/>
      <c r="I34" s="407"/>
      <c r="J34" s="362"/>
      <c r="K34" s="378"/>
      <c r="L34" s="371"/>
      <c r="M34" s="354"/>
      <c r="N34" s="34"/>
      <c r="O34" s="35"/>
      <c r="P34" s="35"/>
      <c r="Q34" s="35"/>
      <c r="R34" s="36"/>
      <c r="S34" s="37"/>
      <c r="T34" s="37"/>
      <c r="U34" s="37"/>
    </row>
    <row r="35" spans="1:21" ht="39" customHeight="1">
      <c r="A35" s="210">
        <v>1</v>
      </c>
      <c r="B35" s="323" t="str">
        <f>INVOICE!B33</f>
        <v>LDBA043800-2</v>
      </c>
      <c r="C35" s="323"/>
      <c r="D35" s="211" t="str">
        <f>INVOICE!D33</f>
        <v>RAIL TOP</v>
      </c>
      <c r="E35" s="164" t="str">
        <f>INVOICE!E33</f>
        <v>PHC-2025100007</v>
      </c>
      <c r="F35" s="132" t="str">
        <f>INVOICE!F33</f>
        <v>pcs</v>
      </c>
      <c r="G35" s="151">
        <f>INVOICE!G33</f>
        <v>300</v>
      </c>
      <c r="H35" s="379">
        <f>VLOOKUP(B35,データ!B3:F77,5,FALSE)</f>
        <v>40</v>
      </c>
      <c r="I35" s="380"/>
      <c r="J35" s="151">
        <f>ROUNDUP(G35/H35,0)</f>
        <v>8</v>
      </c>
      <c r="K35" s="381">
        <v>7</v>
      </c>
      <c r="L35" s="212">
        <f>G35*O35/1000</f>
        <v>0</v>
      </c>
      <c r="M35" s="159">
        <f>L35+J35*0.77+10</f>
        <v>16.16</v>
      </c>
      <c r="N35" s="34"/>
      <c r="O35" s="239"/>
      <c r="P35" s="239"/>
      <c r="Q35" s="239"/>
      <c r="R35" s="36"/>
      <c r="S35" s="34"/>
      <c r="T35" s="37"/>
      <c r="U35" s="37"/>
    </row>
    <row r="36" spans="1:21" ht="39.75" customHeight="1">
      <c r="A36" s="210">
        <f t="shared" ref="A36" si="0">A35+1</f>
        <v>2</v>
      </c>
      <c r="B36" s="323" t="str">
        <f>INVOICE!B34</f>
        <v>LDBA043900-2</v>
      </c>
      <c r="C36" s="323"/>
      <c r="D36" s="211" t="str">
        <f>INVOICE!D34</f>
        <v>RAIL BOTTOM</v>
      </c>
      <c r="E36" s="164" t="str">
        <f>INVOICE!E34</f>
        <v>PHC-2025100007</v>
      </c>
      <c r="F36" s="132" t="str">
        <f>INVOICE!F34</f>
        <v>pcs</v>
      </c>
      <c r="G36" s="151">
        <f>INVOICE!G34</f>
        <v>300</v>
      </c>
      <c r="H36" s="379">
        <f>VLOOKUP(B36,データ!B4:F78,5,FALSE)</f>
        <v>46</v>
      </c>
      <c r="I36" s="380"/>
      <c r="J36" s="151">
        <f t="shared" ref="J36:J51" si="1">ROUNDUP(G36/H36,0)</f>
        <v>7</v>
      </c>
      <c r="K36" s="382"/>
      <c r="L36" s="212">
        <f t="shared" ref="L36:L51" si="2">G36*O36/1000</f>
        <v>0</v>
      </c>
      <c r="M36" s="159">
        <f>L36+J36*0.77+10</f>
        <v>15.39</v>
      </c>
      <c r="N36" s="34"/>
      <c r="O36" s="239"/>
      <c r="P36" s="239"/>
      <c r="Q36" s="239"/>
      <c r="R36" s="36"/>
      <c r="S36" s="34"/>
      <c r="T36" s="37"/>
      <c r="U36" s="37"/>
    </row>
    <row r="37" spans="1:21" ht="39.75" customHeight="1">
      <c r="A37" s="210">
        <f>A36+1</f>
        <v>3</v>
      </c>
      <c r="B37" s="323" t="str">
        <f>INVOICE!B35</f>
        <v>LDBA044901-2</v>
      </c>
      <c r="C37" s="323"/>
      <c r="D37" s="211" t="str">
        <f>INVOICE!D35</f>
        <v>DOOR OUTER SASH R -S500</v>
      </c>
      <c r="E37" s="164" t="str">
        <f>INVOICE!E35</f>
        <v>PHC-2025100019</v>
      </c>
      <c r="F37" s="132" t="str">
        <f>INVOICE!F35</f>
        <v>pcs</v>
      </c>
      <c r="G37" s="151">
        <f>INVOICE!G35</f>
        <v>329</v>
      </c>
      <c r="H37" s="379">
        <f>VLOOKUP(B37,データ!B5:F79,5,FALSE)</f>
        <v>42</v>
      </c>
      <c r="I37" s="380"/>
      <c r="J37" s="151">
        <f t="shared" si="1"/>
        <v>8</v>
      </c>
      <c r="K37" s="382"/>
      <c r="L37" s="212">
        <f t="shared" si="2"/>
        <v>0</v>
      </c>
      <c r="M37" s="159">
        <f>L37+J37*0.77+10</f>
        <v>16.16</v>
      </c>
      <c r="N37" s="34"/>
      <c r="O37" s="239"/>
      <c r="P37" s="239"/>
      <c r="Q37" s="239"/>
      <c r="R37" s="36"/>
      <c r="S37" s="34"/>
      <c r="T37" s="37"/>
      <c r="U37" s="37"/>
    </row>
    <row r="38" spans="1:21" ht="39.75" customHeight="1">
      <c r="A38" s="210">
        <f>A37+1</f>
        <v>4</v>
      </c>
      <c r="B38" s="323" t="str">
        <f>INVOICE!B36</f>
        <v>LDBA045001-2</v>
      </c>
      <c r="C38" s="323"/>
      <c r="D38" s="211" t="str">
        <f>INVOICE!D36</f>
        <v>DOOR OUTER SASH L-S500</v>
      </c>
      <c r="E38" s="164" t="str">
        <f>INVOICE!E36</f>
        <v>PHC-2025100019</v>
      </c>
      <c r="F38" s="132" t="str">
        <f>INVOICE!F36</f>
        <v>pcs</v>
      </c>
      <c r="G38" s="151">
        <f>INVOICE!G36</f>
        <v>331</v>
      </c>
      <c r="H38" s="379">
        <f>VLOOKUP(B38,データ!B6:F80,5,FALSE)</f>
        <v>42</v>
      </c>
      <c r="I38" s="380"/>
      <c r="J38" s="151">
        <f t="shared" si="1"/>
        <v>8</v>
      </c>
      <c r="K38" s="382"/>
      <c r="L38" s="212">
        <f t="shared" si="2"/>
        <v>0</v>
      </c>
      <c r="M38" s="159">
        <f>L38+J38*0.77+10</f>
        <v>16.16</v>
      </c>
      <c r="N38" s="34"/>
      <c r="O38" s="239"/>
      <c r="P38" s="239"/>
      <c r="Q38" s="239"/>
      <c r="R38" s="36"/>
      <c r="S38" s="34"/>
      <c r="T38" s="37"/>
      <c r="U38" s="37"/>
    </row>
    <row r="39" spans="1:21" ht="39.75" customHeight="1">
      <c r="A39" s="210">
        <f t="shared" ref="A39:A52" si="3">A38+1</f>
        <v>5</v>
      </c>
      <c r="B39" s="323" t="str">
        <f>INVOICE!B37</f>
        <v>LDBA045101-3</v>
      </c>
      <c r="C39" s="323"/>
      <c r="D39" s="211" t="str">
        <f>INVOICE!D37</f>
        <v>DOOR CENTER SASH-S500H</v>
      </c>
      <c r="E39" s="164" t="str">
        <f>INVOICE!E37</f>
        <v>PHC-2025100007
PHC-2025100019</v>
      </c>
      <c r="F39" s="132" t="str">
        <f>INVOICE!F37</f>
        <v>pcs</v>
      </c>
      <c r="G39" s="151">
        <f>INVOICE!G37</f>
        <v>640</v>
      </c>
      <c r="H39" s="379">
        <f>VLOOKUP(B39,データ!B7:F81,5,FALSE)</f>
        <v>40</v>
      </c>
      <c r="I39" s="380"/>
      <c r="J39" s="151">
        <f t="shared" si="1"/>
        <v>16</v>
      </c>
      <c r="K39" s="382"/>
      <c r="L39" s="212">
        <f t="shared" si="2"/>
        <v>0</v>
      </c>
      <c r="M39" s="159">
        <f>L39+J39*0.77+20</f>
        <v>32.32</v>
      </c>
      <c r="N39" s="34"/>
      <c r="O39" s="239"/>
      <c r="P39" s="239"/>
      <c r="Q39" s="239"/>
      <c r="R39" s="36"/>
      <c r="S39" s="34"/>
      <c r="T39" s="37"/>
      <c r="U39" s="37"/>
    </row>
    <row r="40" spans="1:21" ht="39.75" customHeight="1">
      <c r="A40" s="210">
        <f t="shared" si="3"/>
        <v>6</v>
      </c>
      <c r="B40" s="323" t="str">
        <f>INVOICE!B38</f>
        <v>LDBA053601-2</v>
      </c>
      <c r="C40" s="323"/>
      <c r="D40" s="211" t="str">
        <f>INVOICE!D38</f>
        <v>DOOR UPPER SASH L-S500H</v>
      </c>
      <c r="E40" s="164" t="str">
        <f>INVOICE!E38</f>
        <v>PHC-2025100019</v>
      </c>
      <c r="F40" s="132" t="str">
        <f>INVOICE!F38</f>
        <v>pcs</v>
      </c>
      <c r="G40" s="151">
        <f>INVOICE!G38</f>
        <v>300</v>
      </c>
      <c r="H40" s="379">
        <f>VLOOKUP(B40,データ!B8:F82,5,FALSE)</f>
        <v>80</v>
      </c>
      <c r="I40" s="380"/>
      <c r="J40" s="151">
        <f t="shared" si="1"/>
        <v>4</v>
      </c>
      <c r="K40" s="382"/>
      <c r="L40" s="212">
        <f t="shared" si="2"/>
        <v>0</v>
      </c>
      <c r="M40" s="159">
        <f t="shared" ref="M40:M43" si="4">L40+J40*0.77+5</f>
        <v>8.08</v>
      </c>
      <c r="N40" s="34"/>
      <c r="O40" s="239"/>
      <c r="P40" s="239"/>
      <c r="Q40" s="239"/>
      <c r="R40" s="36"/>
      <c r="S40" s="34"/>
      <c r="T40" s="37"/>
      <c r="U40" s="37"/>
    </row>
    <row r="41" spans="1:21" ht="39.75" customHeight="1">
      <c r="A41" s="210">
        <f t="shared" si="3"/>
        <v>7</v>
      </c>
      <c r="B41" s="323" t="str">
        <f>INVOICE!B39</f>
        <v>LDBA064301-2</v>
      </c>
      <c r="C41" s="323"/>
      <c r="D41" s="211" t="str">
        <f>INVOICE!D39</f>
        <v>DOOR UPPER SASH R-S500H</v>
      </c>
      <c r="E41" s="164" t="str">
        <f>INVOICE!E39</f>
        <v>PHC-2025100007</v>
      </c>
      <c r="F41" s="132" t="str">
        <f>INVOICE!F39</f>
        <v>pcs</v>
      </c>
      <c r="G41" s="151">
        <f>INVOICE!G39</f>
        <v>300</v>
      </c>
      <c r="H41" s="379">
        <f>VLOOKUP(B41,データ!B9:F83,5,FALSE)</f>
        <v>80</v>
      </c>
      <c r="I41" s="380"/>
      <c r="J41" s="151">
        <f t="shared" si="1"/>
        <v>4</v>
      </c>
      <c r="K41" s="382"/>
      <c r="L41" s="212">
        <f t="shared" si="2"/>
        <v>0</v>
      </c>
      <c r="M41" s="159">
        <f t="shared" si="4"/>
        <v>8.08</v>
      </c>
      <c r="N41" s="34"/>
      <c r="O41" s="239"/>
      <c r="P41" s="239"/>
      <c r="Q41" s="239"/>
      <c r="R41" s="36"/>
      <c r="S41" s="34"/>
      <c r="T41" s="37"/>
      <c r="U41" s="37"/>
    </row>
    <row r="42" spans="1:21" ht="39.75" customHeight="1">
      <c r="A42" s="210">
        <f t="shared" si="3"/>
        <v>8</v>
      </c>
      <c r="B42" s="323" t="str">
        <f>INVOICE!B40</f>
        <v>LDBA053603-0</v>
      </c>
      <c r="C42" s="323"/>
      <c r="D42" s="211" t="str">
        <f>INVOICE!D40</f>
        <v>DOOR UPPER SASH L-S150H</v>
      </c>
      <c r="E42" s="164" t="str">
        <f>INVOICE!E40</f>
        <v>PHC-2025100019</v>
      </c>
      <c r="F42" s="132" t="str">
        <f>INVOICE!F40</f>
        <v>pcs</v>
      </c>
      <c r="G42" s="151">
        <f>INVOICE!G40</f>
        <v>300</v>
      </c>
      <c r="H42" s="379">
        <f>VLOOKUP(B42,データ!B10:F84,5,FALSE)</f>
        <v>80</v>
      </c>
      <c r="I42" s="380"/>
      <c r="J42" s="151">
        <f t="shared" si="1"/>
        <v>4</v>
      </c>
      <c r="K42" s="382"/>
      <c r="L42" s="212">
        <f t="shared" si="2"/>
        <v>0</v>
      </c>
      <c r="M42" s="159">
        <f t="shared" si="4"/>
        <v>8.08</v>
      </c>
      <c r="N42" s="34"/>
      <c r="O42" s="239"/>
      <c r="P42" s="239"/>
      <c r="Q42" s="239"/>
      <c r="R42" s="36"/>
      <c r="S42" s="34"/>
      <c r="T42" s="37"/>
      <c r="U42" s="37"/>
    </row>
    <row r="43" spans="1:21" ht="39.75" customHeight="1">
      <c r="A43" s="210">
        <f t="shared" si="3"/>
        <v>9</v>
      </c>
      <c r="B43" s="323" t="str">
        <f>INVOICE!B41</f>
        <v>LDBA064303-0</v>
      </c>
      <c r="C43" s="323"/>
      <c r="D43" s="211" t="str">
        <f>INVOICE!D41</f>
        <v>DOOR UPPER SASH R-S150H</v>
      </c>
      <c r="E43" s="164" t="str">
        <f>INVOICE!E41</f>
        <v>PHC-2025100019</v>
      </c>
      <c r="F43" s="132" t="str">
        <f>INVOICE!F41</f>
        <v>pcs</v>
      </c>
      <c r="G43" s="151">
        <f>INVOICE!G41</f>
        <v>300</v>
      </c>
      <c r="H43" s="379">
        <f>VLOOKUP(B43,データ!B11:F85,5,FALSE)</f>
        <v>80</v>
      </c>
      <c r="I43" s="380"/>
      <c r="J43" s="151">
        <f t="shared" si="1"/>
        <v>4</v>
      </c>
      <c r="K43" s="382"/>
      <c r="L43" s="212">
        <f t="shared" si="2"/>
        <v>0</v>
      </c>
      <c r="M43" s="159">
        <f t="shared" si="4"/>
        <v>8.08</v>
      </c>
      <c r="N43" s="34"/>
      <c r="O43" s="239"/>
      <c r="P43" s="239"/>
      <c r="Q43" s="239"/>
      <c r="R43" s="36"/>
      <c r="S43" s="34"/>
      <c r="T43" s="37"/>
      <c r="U43" s="37"/>
    </row>
    <row r="44" spans="1:21" ht="39.75" customHeight="1">
      <c r="A44" s="210">
        <f t="shared" si="3"/>
        <v>10</v>
      </c>
      <c r="B44" s="323" t="str">
        <f>INVOICE!B42</f>
        <v>LDBA053700-0</v>
      </c>
      <c r="C44" s="323"/>
      <c r="D44" s="211" t="str">
        <f>INVOICE!D42</f>
        <v>DOOR LOWER SASH L-S500H</v>
      </c>
      <c r="E44" s="164" t="str">
        <f>INVOICE!E42</f>
        <v>PHC-2025100019</v>
      </c>
      <c r="F44" s="132" t="str">
        <f>INVOICE!F42</f>
        <v>pcs</v>
      </c>
      <c r="G44" s="151">
        <f>INVOICE!G42</f>
        <v>300</v>
      </c>
      <c r="H44" s="379">
        <f>VLOOKUP(B44,データ!B12:F86,5,FALSE)</f>
        <v>50</v>
      </c>
      <c r="I44" s="380"/>
      <c r="J44" s="151">
        <f t="shared" si="1"/>
        <v>6</v>
      </c>
      <c r="K44" s="382"/>
      <c r="L44" s="212">
        <f t="shared" si="2"/>
        <v>0</v>
      </c>
      <c r="M44" s="159">
        <f>L44+J44*0.77+10</f>
        <v>14.620000000000001</v>
      </c>
      <c r="N44" s="34"/>
      <c r="O44" s="239"/>
      <c r="P44" s="239"/>
      <c r="Q44" s="239"/>
      <c r="R44" s="36"/>
      <c r="S44" s="34"/>
      <c r="T44" s="37"/>
      <c r="U44" s="37"/>
    </row>
    <row r="45" spans="1:21" ht="39.75" customHeight="1">
      <c r="A45" s="210">
        <f t="shared" si="3"/>
        <v>11</v>
      </c>
      <c r="B45" s="323" t="str">
        <f>INVOICE!B43</f>
        <v>LDBA053800-0</v>
      </c>
      <c r="C45" s="323"/>
      <c r="D45" s="211" t="str">
        <f>INVOICE!D43</f>
        <v xml:space="preserve"> DOOR LOWER SASH R-S500H</v>
      </c>
      <c r="E45" s="164" t="str">
        <f>INVOICE!E43</f>
        <v>PHC-2025100019</v>
      </c>
      <c r="F45" s="132" t="str">
        <f>INVOICE!F43</f>
        <v>pcs</v>
      </c>
      <c r="G45" s="151">
        <f>INVOICE!G43</f>
        <v>300</v>
      </c>
      <c r="H45" s="379">
        <f>VLOOKUP(B45,データ!B13:F87,5,FALSE)</f>
        <v>50</v>
      </c>
      <c r="I45" s="380"/>
      <c r="J45" s="151">
        <f t="shared" si="1"/>
        <v>6</v>
      </c>
      <c r="K45" s="382"/>
      <c r="L45" s="212">
        <f t="shared" si="2"/>
        <v>0</v>
      </c>
      <c r="M45" s="159">
        <f>L45+J45*0.77+10</f>
        <v>14.620000000000001</v>
      </c>
      <c r="N45" s="34"/>
      <c r="O45" s="239"/>
      <c r="P45" s="239"/>
      <c r="Q45" s="239"/>
      <c r="R45" s="36"/>
      <c r="S45" s="34"/>
      <c r="T45" s="37"/>
      <c r="U45" s="37"/>
    </row>
    <row r="46" spans="1:21" ht="39.75" customHeight="1">
      <c r="A46" s="210">
        <f t="shared" si="3"/>
        <v>12</v>
      </c>
      <c r="B46" s="323" t="str">
        <f>INVOICE!B44</f>
        <v>LDBA061200-0</v>
      </c>
      <c r="C46" s="323"/>
      <c r="D46" s="211" t="str">
        <f>INVOICE!D44</f>
        <v>DOOR LOWER SASH L</v>
      </c>
      <c r="E46" s="164" t="str">
        <f>INVOICE!E44</f>
        <v>PHC-2025100063
PHC-2023060092</v>
      </c>
      <c r="F46" s="132" t="str">
        <f>INVOICE!F44</f>
        <v>pcs</v>
      </c>
      <c r="G46" s="151">
        <f>INVOICE!G44</f>
        <v>323</v>
      </c>
      <c r="H46" s="379">
        <f>VLOOKUP(B46,データ!B14:F88,5,FALSE)</f>
        <v>20</v>
      </c>
      <c r="I46" s="380"/>
      <c r="J46" s="151">
        <f>ROUNDUP(G46/H46,0)</f>
        <v>17</v>
      </c>
      <c r="K46" s="382"/>
      <c r="L46" s="212">
        <f t="shared" si="2"/>
        <v>0</v>
      </c>
      <c r="M46" s="159">
        <f>L46+J46*0.77+20</f>
        <v>33.090000000000003</v>
      </c>
      <c r="N46" s="34"/>
      <c r="O46" s="239"/>
      <c r="P46" s="239"/>
      <c r="Q46" s="239"/>
      <c r="R46" s="36"/>
      <c r="S46" s="34"/>
      <c r="T46" s="37"/>
      <c r="U46" s="37"/>
    </row>
    <row r="47" spans="1:21" ht="39.75" customHeight="1">
      <c r="A47" s="210">
        <f t="shared" si="3"/>
        <v>13</v>
      </c>
      <c r="B47" s="323" t="str">
        <f>INVOICE!B45</f>
        <v>LDBA061300-0</v>
      </c>
      <c r="C47" s="323"/>
      <c r="D47" s="211" t="str">
        <f>INVOICE!D45</f>
        <v xml:space="preserve"> DOOR LOWER SASH R</v>
      </c>
      <c r="E47" s="164" t="str">
        <f>INVOICE!E45</f>
        <v>PHC-2023060092</v>
      </c>
      <c r="F47" s="132" t="str">
        <f>INVOICE!F45</f>
        <v>pcs</v>
      </c>
      <c r="G47" s="151">
        <f>INVOICE!G45</f>
        <v>6</v>
      </c>
      <c r="H47" s="379">
        <v>6</v>
      </c>
      <c r="I47" s="380"/>
      <c r="J47" s="151">
        <f t="shared" si="1"/>
        <v>1</v>
      </c>
      <c r="K47" s="382"/>
      <c r="L47" s="212">
        <f t="shared" si="2"/>
        <v>0</v>
      </c>
      <c r="M47" s="159">
        <f>L47+J47*0.77</f>
        <v>0.77</v>
      </c>
      <c r="N47" s="34"/>
      <c r="O47" s="239"/>
      <c r="P47" s="239"/>
      <c r="Q47" s="239"/>
      <c r="R47" s="36"/>
      <c r="S47" s="34"/>
      <c r="T47" s="37"/>
      <c r="U47" s="37"/>
    </row>
    <row r="48" spans="1:21" ht="39.75" customHeight="1">
      <c r="A48" s="210">
        <f t="shared" si="3"/>
        <v>14</v>
      </c>
      <c r="B48" s="323" t="str">
        <f>INVOICE!B46</f>
        <v>LDBA093301-0</v>
      </c>
      <c r="C48" s="323"/>
      <c r="D48" s="211" t="str">
        <f>INVOICE!D46</f>
        <v>DOOR CENTER SASH</v>
      </c>
      <c r="E48" s="164" t="str">
        <f>INVOICE!E46</f>
        <v>PHC-2024090117</v>
      </c>
      <c r="F48" s="132" t="str">
        <f>INVOICE!F46</f>
        <v>pcs</v>
      </c>
      <c r="G48" s="151">
        <f>INVOICE!G46</f>
        <v>13</v>
      </c>
      <c r="H48" s="379">
        <v>13</v>
      </c>
      <c r="I48" s="380"/>
      <c r="J48" s="151">
        <f t="shared" si="1"/>
        <v>1</v>
      </c>
      <c r="K48" s="382"/>
      <c r="L48" s="212">
        <f t="shared" si="2"/>
        <v>0</v>
      </c>
      <c r="M48" s="159">
        <f>L48+J48*0.77</f>
        <v>0.77</v>
      </c>
      <c r="N48" s="34"/>
      <c r="O48" s="239"/>
      <c r="P48" s="239"/>
      <c r="Q48" s="239"/>
      <c r="R48" s="36"/>
      <c r="S48" s="34"/>
      <c r="T48" s="37"/>
      <c r="U48" s="37"/>
    </row>
    <row r="49" spans="1:21" ht="39.75" customHeight="1">
      <c r="A49" s="210">
        <f t="shared" si="3"/>
        <v>15</v>
      </c>
      <c r="B49" s="323" t="str">
        <f>INVOICE!B47</f>
        <v>LDBA053500-0</v>
      </c>
      <c r="C49" s="323"/>
      <c r="D49" s="211" t="str">
        <f>INVOICE!D47</f>
        <v xml:space="preserve"> LIGHT COVER-S500H</v>
      </c>
      <c r="E49" s="164" t="str">
        <f>INVOICE!E47</f>
        <v>PHC-2025100019</v>
      </c>
      <c r="F49" s="132" t="str">
        <f>INVOICE!F47</f>
        <v>pcs</v>
      </c>
      <c r="G49" s="151">
        <f>INVOICE!G47</f>
        <v>300</v>
      </c>
      <c r="H49" s="379">
        <f>VLOOKUP(B49,データ!B17:F91,5,FALSE)</f>
        <v>170</v>
      </c>
      <c r="I49" s="380"/>
      <c r="J49" s="151">
        <f t="shared" si="1"/>
        <v>2</v>
      </c>
      <c r="K49" s="382"/>
      <c r="L49" s="212">
        <f t="shared" si="2"/>
        <v>0</v>
      </c>
      <c r="M49" s="159">
        <f>L49+J49*0.77+5</f>
        <v>6.54</v>
      </c>
      <c r="N49" s="34"/>
      <c r="O49" s="239"/>
      <c r="P49" s="239"/>
      <c r="Q49" s="239"/>
      <c r="R49" s="36"/>
      <c r="S49" s="34"/>
      <c r="T49" s="37"/>
      <c r="U49" s="37"/>
    </row>
    <row r="50" spans="1:21" ht="39.75" customHeight="1">
      <c r="A50" s="210">
        <f t="shared" si="3"/>
        <v>16</v>
      </c>
      <c r="B50" s="323" t="str">
        <f>INVOICE!B48</f>
        <v>LDBA060800-0</v>
      </c>
      <c r="C50" s="323"/>
      <c r="D50" s="211" t="str">
        <f>INVOICE!D48</f>
        <v>RAIL SIDE R</v>
      </c>
      <c r="E50" s="164" t="str">
        <f>INVOICE!E48</f>
        <v>PHC-2025100063</v>
      </c>
      <c r="F50" s="132" t="str">
        <f>INVOICE!F48</f>
        <v>pcs</v>
      </c>
      <c r="G50" s="151">
        <f>INVOICE!G48</f>
        <v>320</v>
      </c>
      <c r="H50" s="379">
        <f>VLOOKUP(B50,データ!B18:F92,5,FALSE)</f>
        <v>34</v>
      </c>
      <c r="I50" s="380"/>
      <c r="J50" s="151">
        <f t="shared" si="1"/>
        <v>10</v>
      </c>
      <c r="K50" s="382"/>
      <c r="L50" s="212">
        <f t="shared" si="2"/>
        <v>0</v>
      </c>
      <c r="M50" s="159">
        <f>L50+J50*0.77+10</f>
        <v>17.7</v>
      </c>
      <c r="N50" s="34"/>
      <c r="O50" s="239"/>
      <c r="P50" s="239"/>
      <c r="Q50" s="239"/>
      <c r="R50" s="36"/>
      <c r="S50" s="34"/>
      <c r="T50" s="37"/>
      <c r="U50" s="37"/>
    </row>
    <row r="51" spans="1:21" ht="39.75" customHeight="1">
      <c r="A51" s="210">
        <f t="shared" si="3"/>
        <v>17</v>
      </c>
      <c r="B51" s="323" t="str">
        <f>INVOICE!B49</f>
        <v>LDBA060501-1</v>
      </c>
      <c r="C51" s="323"/>
      <c r="D51" s="211" t="str">
        <f>INVOICE!D49</f>
        <v>RAIL TOP S1200H</v>
      </c>
      <c r="E51" s="164" t="str">
        <f>INVOICE!E49</f>
        <v>PHC-2024070112</v>
      </c>
      <c r="F51" s="132" t="str">
        <f>INVOICE!F49</f>
        <v>pcs</v>
      </c>
      <c r="G51" s="151">
        <f>INVOICE!G49</f>
        <v>80</v>
      </c>
      <c r="H51" s="379">
        <f>VLOOKUP(B51,データ!B19:F93,5,FALSE)</f>
        <v>22</v>
      </c>
      <c r="I51" s="380"/>
      <c r="J51" s="151">
        <f t="shared" si="1"/>
        <v>4</v>
      </c>
      <c r="K51" s="383"/>
      <c r="L51" s="212">
        <f t="shared" si="2"/>
        <v>0</v>
      </c>
      <c r="M51" s="159">
        <f>L51+J51*0.77+5</f>
        <v>8.08</v>
      </c>
      <c r="N51" s="34"/>
      <c r="O51" s="239"/>
      <c r="P51" s="239"/>
      <c r="Q51" s="239"/>
      <c r="R51" s="36"/>
      <c r="S51" s="34"/>
      <c r="T51" s="37"/>
      <c r="U51" s="37"/>
    </row>
    <row r="52" spans="1:21" ht="39.75" customHeight="1">
      <c r="A52" s="210">
        <f t="shared" si="3"/>
        <v>18</v>
      </c>
      <c r="B52" s="323"/>
      <c r="C52" s="323"/>
      <c r="D52" s="211"/>
      <c r="E52" s="164"/>
      <c r="F52" s="132"/>
      <c r="G52" s="151"/>
      <c r="H52" s="236"/>
      <c r="I52" s="237"/>
      <c r="J52" s="151"/>
      <c r="K52" s="161"/>
      <c r="L52" s="212"/>
      <c r="M52" s="159"/>
      <c r="N52" s="34"/>
      <c r="O52" s="239"/>
      <c r="P52" s="239"/>
      <c r="Q52" s="239"/>
      <c r="R52" s="36"/>
      <c r="S52" s="34"/>
      <c r="T52" s="37"/>
      <c r="U52" s="37"/>
    </row>
    <row r="53" spans="1:21">
      <c r="A53" s="325" t="s">
        <v>54</v>
      </c>
      <c r="B53" s="326"/>
      <c r="C53" s="326"/>
      <c r="D53" s="326"/>
      <c r="E53" s="326"/>
      <c r="F53" s="327"/>
      <c r="G53" s="384">
        <f>SUM(G35:G52)</f>
        <v>4742</v>
      </c>
      <c r="H53" s="335"/>
      <c r="I53" s="327"/>
      <c r="J53" s="333">
        <f>SUM(J35:J52)</f>
        <v>110</v>
      </c>
      <c r="K53" s="388">
        <f>SUM(K35:K52)</f>
        <v>7</v>
      </c>
      <c r="L53" s="390">
        <f>SUM(L35:L52)</f>
        <v>0</v>
      </c>
      <c r="M53" s="386">
        <f>SUM(M35:M52)</f>
        <v>224.70000000000002</v>
      </c>
      <c r="N53" s="375"/>
      <c r="O53" s="375"/>
      <c r="P53" s="375"/>
    </row>
    <row r="54" spans="1:21" ht="13.5" customHeight="1" thickBot="1">
      <c r="A54" s="328"/>
      <c r="B54" s="329"/>
      <c r="C54" s="329"/>
      <c r="D54" s="329"/>
      <c r="E54" s="329"/>
      <c r="F54" s="330"/>
      <c r="G54" s="385"/>
      <c r="H54" s="336"/>
      <c r="I54" s="330"/>
      <c r="J54" s="334"/>
      <c r="K54" s="389"/>
      <c r="L54" s="391"/>
      <c r="M54" s="387"/>
      <c r="N54" s="375"/>
      <c r="O54" s="375"/>
      <c r="P54" s="375"/>
    </row>
    <row r="55" spans="1:21" ht="20.100000000000001" customHeight="1">
      <c r="A55" s="213" t="str">
        <f>INVOICE!A54</f>
        <v>原産国 (Country of Origin) : VIETNAM</v>
      </c>
      <c r="B55" s="186"/>
      <c r="O55" s="186"/>
      <c r="T55" s="240"/>
    </row>
    <row r="56" spans="1:21" ht="18" customHeight="1">
      <c r="A56" s="331" t="s">
        <v>155</v>
      </c>
      <c r="B56" s="332"/>
      <c r="C56" s="332"/>
      <c r="D56" s="214">
        <f>G53</f>
        <v>4742</v>
      </c>
      <c r="E56" s="214"/>
      <c r="F56" s="215"/>
      <c r="G56" s="216"/>
      <c r="H56" s="332"/>
      <c r="I56" s="332"/>
      <c r="J56" s="332"/>
      <c r="N56" s="241"/>
      <c r="O56" s="186"/>
    </row>
    <row r="57" spans="1:21" ht="20.100000000000001" customHeight="1">
      <c r="A57" s="38" t="s">
        <v>72</v>
      </c>
      <c r="D57" s="71">
        <f>M53</f>
        <v>224.70000000000002</v>
      </c>
      <c r="E57" s="71"/>
      <c r="F57" s="217"/>
      <c r="G57" s="218"/>
      <c r="H57" s="219"/>
      <c r="I57" s="332" t="s">
        <v>56</v>
      </c>
      <c r="J57" s="332"/>
      <c r="K57" s="332"/>
      <c r="L57" s="67"/>
      <c r="N57" s="67"/>
      <c r="O57" s="186"/>
    </row>
    <row r="58" spans="1:21" ht="25.5" customHeight="1">
      <c r="A58" s="38" t="s">
        <v>73</v>
      </c>
      <c r="D58" s="220">
        <f>1.1*1.1*1.25*4+1.1*1.5*1*0.8*3</f>
        <v>10.010000000000002</v>
      </c>
      <c r="F58" s="221"/>
      <c r="G58" s="221"/>
    </row>
    <row r="59" spans="1:21" ht="20.100000000000001" customHeight="1">
      <c r="A59" s="222" t="s">
        <v>74</v>
      </c>
    </row>
    <row r="60" spans="1:21" ht="15" customHeight="1">
      <c r="A60" s="324"/>
      <c r="B60" s="324"/>
      <c r="C60" s="324"/>
      <c r="D60" s="223"/>
      <c r="E60" s="223"/>
    </row>
    <row r="61" spans="1:21" ht="13.5" customHeight="1"/>
    <row r="62" spans="1:21" hidden="1"/>
    <row r="63" spans="1:21" hidden="1"/>
    <row r="64" spans="1:21">
      <c r="F64" s="67"/>
      <c r="G64" s="67"/>
      <c r="H64" s="67"/>
      <c r="I64" s="67"/>
      <c r="J64" s="67"/>
      <c r="K64" s="67"/>
      <c r="L64" s="67"/>
      <c r="M64" s="67"/>
    </row>
    <row r="65" spans="6:14">
      <c r="F65" s="67"/>
      <c r="G65" s="68"/>
      <c r="H65" s="69"/>
      <c r="I65" s="70"/>
      <c r="J65" s="71"/>
      <c r="K65" s="71"/>
      <c r="L65" s="71"/>
      <c r="M65" s="71"/>
    </row>
    <row r="66" spans="6:14">
      <c r="F66" s="67"/>
      <c r="G66" s="68"/>
      <c r="H66" s="69"/>
      <c r="I66" s="70"/>
      <c r="J66" s="71"/>
      <c r="K66" s="71"/>
      <c r="L66" s="71"/>
      <c r="M66" s="71"/>
      <c r="N66" s="224"/>
    </row>
    <row r="67" spans="6:14">
      <c r="F67" s="67"/>
      <c r="G67" s="68"/>
      <c r="H67" s="69"/>
      <c r="I67" s="70"/>
      <c r="J67" s="67"/>
      <c r="K67" s="71"/>
      <c r="L67" s="71"/>
      <c r="M67" s="71"/>
    </row>
    <row r="68" spans="6:14">
      <c r="F68" s="67"/>
      <c r="G68" s="68"/>
      <c r="H68" s="69"/>
      <c r="I68" s="70"/>
      <c r="J68" s="67"/>
      <c r="K68" s="71"/>
      <c r="L68" s="71"/>
      <c r="M68" s="71"/>
    </row>
    <row r="69" spans="6:14">
      <c r="F69" s="67"/>
      <c r="G69" s="68"/>
      <c r="H69" s="69"/>
      <c r="I69" s="70"/>
      <c r="J69" s="67"/>
      <c r="K69" s="71"/>
      <c r="L69" s="71"/>
      <c r="M69" s="71"/>
    </row>
    <row r="70" spans="6:14">
      <c r="F70" s="67"/>
      <c r="G70" s="68"/>
      <c r="H70" s="69"/>
      <c r="I70" s="70"/>
      <c r="J70" s="67"/>
      <c r="K70" s="71"/>
      <c r="L70" s="71"/>
      <c r="M70" s="71"/>
    </row>
    <row r="71" spans="6:14">
      <c r="F71" s="67"/>
      <c r="G71" s="68"/>
      <c r="H71" s="69"/>
      <c r="I71" s="70"/>
      <c r="K71" s="71"/>
      <c r="L71" s="71"/>
      <c r="M71" s="71"/>
    </row>
    <row r="72" spans="6:14">
      <c r="F72" s="67"/>
      <c r="G72" s="68"/>
      <c r="H72" s="69"/>
      <c r="I72" s="70"/>
      <c r="K72" s="71"/>
      <c r="L72" s="71"/>
      <c r="M72" s="71"/>
    </row>
    <row r="73" spans="6:14">
      <c r="F73" s="67"/>
      <c r="G73" s="68"/>
      <c r="H73" s="69"/>
      <c r="I73" s="70"/>
      <c r="K73" s="71"/>
      <c r="L73" s="71"/>
      <c r="M73" s="71"/>
    </row>
    <row r="74" spans="6:14">
      <c r="F74" s="67"/>
      <c r="G74" s="68"/>
      <c r="H74" s="69"/>
      <c r="I74" s="70"/>
      <c r="K74" s="71"/>
      <c r="L74" s="71"/>
      <c r="M74" s="71"/>
    </row>
    <row r="75" spans="6:14">
      <c r="F75" s="67"/>
      <c r="G75" s="225"/>
      <c r="H75" s="67"/>
      <c r="I75" s="70"/>
      <c r="K75" s="67"/>
      <c r="L75" s="67"/>
      <c r="M75" s="71"/>
    </row>
    <row r="76" spans="6:14">
      <c r="F76" s="67"/>
      <c r="G76" s="225"/>
      <c r="H76" s="67"/>
      <c r="I76" s="226"/>
      <c r="K76" s="67"/>
      <c r="L76" s="67"/>
      <c r="M76" s="71"/>
    </row>
    <row r="77" spans="6:14">
      <c r="F77" s="67"/>
      <c r="G77" s="227"/>
      <c r="H77" s="67"/>
      <c r="I77" s="228"/>
      <c r="K77" s="71"/>
      <c r="L77" s="71"/>
      <c r="M77" s="71"/>
      <c r="N77" s="229"/>
    </row>
    <row r="78" spans="6:14">
      <c r="F78" s="67"/>
      <c r="G78" s="227"/>
      <c r="H78" s="67"/>
      <c r="I78" s="228"/>
      <c r="K78" s="71"/>
      <c r="L78" s="71"/>
      <c r="M78" s="71"/>
      <c r="N78" s="229"/>
    </row>
    <row r="79" spans="6:14">
      <c r="F79" s="67"/>
      <c r="G79" s="227"/>
      <c r="H79" s="67"/>
      <c r="I79" s="228"/>
      <c r="K79" s="71"/>
      <c r="L79" s="71"/>
      <c r="M79" s="71"/>
      <c r="N79" s="229"/>
    </row>
    <row r="80" spans="6:14">
      <c r="F80" s="67"/>
      <c r="G80" s="227"/>
      <c r="H80" s="67"/>
      <c r="I80" s="228"/>
      <c r="K80" s="71"/>
      <c r="L80" s="71"/>
      <c r="M80" s="71"/>
      <c r="N80" s="229"/>
    </row>
    <row r="81" spans="6:14">
      <c r="F81" s="67"/>
      <c r="G81" s="227"/>
      <c r="H81" s="67"/>
      <c r="I81" s="228"/>
      <c r="K81" s="71"/>
      <c r="L81" s="71"/>
      <c r="M81" s="71"/>
      <c r="N81" s="229"/>
    </row>
    <row r="82" spans="6:14">
      <c r="F82" s="67"/>
      <c r="G82" s="227"/>
      <c r="H82" s="67"/>
      <c r="I82" s="228"/>
      <c r="K82" s="71"/>
      <c r="L82" s="71"/>
      <c r="M82" s="71"/>
      <c r="N82" s="229"/>
    </row>
    <row r="83" spans="6:14">
      <c r="F83" s="67"/>
      <c r="G83" s="230"/>
      <c r="H83" s="67"/>
      <c r="I83" s="226"/>
      <c r="J83" s="67"/>
      <c r="K83" s="71"/>
      <c r="L83" s="71"/>
      <c r="M83" s="71"/>
    </row>
    <row r="84" spans="6:14">
      <c r="F84" s="67"/>
      <c r="G84" s="230"/>
      <c r="H84" s="231"/>
      <c r="I84" s="226"/>
      <c r="J84" s="67"/>
      <c r="K84" s="71"/>
      <c r="L84" s="71"/>
      <c r="M84" s="71"/>
    </row>
    <row r="85" spans="6:14">
      <c r="F85" s="67"/>
      <c r="G85" s="230"/>
      <c r="H85" s="67"/>
      <c r="I85" s="226"/>
      <c r="J85" s="67"/>
      <c r="K85" s="71"/>
      <c r="L85" s="71"/>
      <c r="M85" s="71"/>
    </row>
    <row r="86" spans="6:14">
      <c r="F86" s="67"/>
      <c r="G86" s="67"/>
      <c r="H86" s="67"/>
      <c r="I86" s="67"/>
      <c r="J86" s="67"/>
      <c r="K86" s="67"/>
      <c r="L86" s="67"/>
      <c r="M86" s="67"/>
    </row>
  </sheetData>
  <mergeCells count="76">
    <mergeCell ref="H50:I50"/>
    <mergeCell ref="H51:I51"/>
    <mergeCell ref="H44:I44"/>
    <mergeCell ref="B35:C35"/>
    <mergeCell ref="B36:C36"/>
    <mergeCell ref="B37:C37"/>
    <mergeCell ref="H45:I45"/>
    <mergeCell ref="H46:I46"/>
    <mergeCell ref="H47:I47"/>
    <mergeCell ref="H48:I48"/>
    <mergeCell ref="H49:I49"/>
    <mergeCell ref="B38:C38"/>
    <mergeCell ref="B39:C39"/>
    <mergeCell ref="B40:C40"/>
    <mergeCell ref="B41:C41"/>
    <mergeCell ref="B45:C45"/>
    <mergeCell ref="A23:D23"/>
    <mergeCell ref="A29:H29"/>
    <mergeCell ref="G31:G34"/>
    <mergeCell ref="A26:H26"/>
    <mergeCell ref="A27:H27"/>
    <mergeCell ref="A28:H28"/>
    <mergeCell ref="H31:I34"/>
    <mergeCell ref="E31:E34"/>
    <mergeCell ref="C25:F25"/>
    <mergeCell ref="G53:G54"/>
    <mergeCell ref="N53:N54"/>
    <mergeCell ref="O53:O54"/>
    <mergeCell ref="M53:M54"/>
    <mergeCell ref="K53:K54"/>
    <mergeCell ref="L53:L54"/>
    <mergeCell ref="L31:L34"/>
    <mergeCell ref="L11:M12"/>
    <mergeCell ref="L13:M13"/>
    <mergeCell ref="I13:K13"/>
    <mergeCell ref="P53:P54"/>
    <mergeCell ref="K31:K34"/>
    <mergeCell ref="H36:I36"/>
    <mergeCell ref="H37:I37"/>
    <mergeCell ref="H43:I43"/>
    <mergeCell ref="H40:I40"/>
    <mergeCell ref="H35:I35"/>
    <mergeCell ref="H42:I42"/>
    <mergeCell ref="H41:I41"/>
    <mergeCell ref="H38:I38"/>
    <mergeCell ref="H39:I39"/>
    <mergeCell ref="K35:K51"/>
    <mergeCell ref="H56:J56"/>
    <mergeCell ref="J53:J54"/>
    <mergeCell ref="I57:K57"/>
    <mergeCell ref="H53:I54"/>
    <mergeCell ref="A1:M4"/>
    <mergeCell ref="F31:F34"/>
    <mergeCell ref="I8:M10"/>
    <mergeCell ref="I14:M14"/>
    <mergeCell ref="A24:C24"/>
    <mergeCell ref="I15:M17"/>
    <mergeCell ref="M31:M34"/>
    <mergeCell ref="A31:C34"/>
    <mergeCell ref="D31:D34"/>
    <mergeCell ref="J31:J34"/>
    <mergeCell ref="I5:M5"/>
    <mergeCell ref="I11:K12"/>
    <mergeCell ref="A60:C60"/>
    <mergeCell ref="A53:F54"/>
    <mergeCell ref="A56:C56"/>
    <mergeCell ref="B49:C49"/>
    <mergeCell ref="B50:C50"/>
    <mergeCell ref="B51:C51"/>
    <mergeCell ref="B52:C52"/>
    <mergeCell ref="B46:C46"/>
    <mergeCell ref="B47:C47"/>
    <mergeCell ref="B48:C48"/>
    <mergeCell ref="B42:C42"/>
    <mergeCell ref="B43:C43"/>
    <mergeCell ref="B44:C44"/>
  </mergeCells>
  <phoneticPr fontId="1"/>
  <pageMargins left="0.28000000000000003" right="0.18" top="0.37" bottom="0" header="0.37" footer="0"/>
  <pageSetup paperSize="9" scale="6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"/>
  <sheetViews>
    <sheetView view="pageBreakPreview" topLeftCell="A41" zoomScale="95" zoomScaleNormal="100" zoomScaleSheetLayoutView="95" workbookViewId="0">
      <selection activeCell="B34" sqref="B34:C34"/>
    </sheetView>
  </sheetViews>
  <sheetFormatPr defaultColWidth="9" defaultRowHeight="15"/>
  <cols>
    <col min="1" max="1" width="3.375" style="5" customWidth="1"/>
    <col min="2" max="2" width="9" style="5"/>
    <col min="3" max="3" width="5" style="5" customWidth="1"/>
    <col min="4" max="4" width="26.125" style="5" customWidth="1"/>
    <col min="5" max="5" width="15.125" style="5" customWidth="1"/>
    <col min="6" max="6" width="6.375" style="5" customWidth="1"/>
    <col min="7" max="7" width="9.125" style="5" customWidth="1"/>
    <col min="8" max="8" width="9" style="5"/>
    <col min="9" max="9" width="2" style="5" customWidth="1"/>
    <col min="10" max="10" width="9.875" style="5" customWidth="1"/>
    <col min="11" max="11" width="10.375" style="5" customWidth="1"/>
    <col min="12" max="16384" width="9" style="5"/>
  </cols>
  <sheetData>
    <row r="1" spans="1:11" ht="13.5" customHeight="1">
      <c r="A1" s="255" t="s">
        <v>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</row>
    <row r="2" spans="1:11" ht="13.5" customHeight="1">
      <c r="A2" s="255"/>
      <c r="B2" s="255"/>
      <c r="C2" s="255"/>
      <c r="D2" s="255"/>
      <c r="E2" s="255"/>
      <c r="F2" s="255"/>
      <c r="G2" s="255"/>
      <c r="H2" s="255"/>
      <c r="I2" s="255"/>
      <c r="J2" s="255"/>
      <c r="K2" s="255"/>
    </row>
    <row r="3" spans="1:11" ht="9.75" customHeight="1">
      <c r="A3" s="255"/>
      <c r="B3" s="255"/>
      <c r="C3" s="255"/>
      <c r="D3" s="255"/>
      <c r="E3" s="255"/>
      <c r="F3" s="255"/>
      <c r="G3" s="255"/>
      <c r="H3" s="255"/>
      <c r="I3" s="255"/>
      <c r="J3" s="255"/>
      <c r="K3" s="255"/>
    </row>
    <row r="4" spans="1:11" ht="5.45" customHeight="1">
      <c r="A4" s="255"/>
      <c r="B4" s="255"/>
      <c r="C4" s="255"/>
      <c r="D4" s="255"/>
      <c r="E4" s="255"/>
      <c r="F4" s="255"/>
      <c r="G4" s="255"/>
      <c r="H4" s="255"/>
      <c r="I4" s="255"/>
      <c r="J4" s="255"/>
      <c r="K4" s="255"/>
    </row>
    <row r="5" spans="1:11">
      <c r="H5" s="156" t="str">
        <f>INVOICE!H5</f>
        <v>インボイス作成日（Date): 24/11/2025</v>
      </c>
    </row>
    <row r="6" spans="1:11" ht="15.75" thickBot="1"/>
    <row r="7" spans="1:11">
      <c r="A7" s="7" t="s">
        <v>1</v>
      </c>
      <c r="B7" s="8"/>
      <c r="C7" s="8"/>
      <c r="D7" s="8"/>
      <c r="E7" s="8"/>
      <c r="F7" s="8"/>
      <c r="G7" s="58"/>
      <c r="H7" s="265" t="str">
        <f>INVOICE!H7</f>
        <v>Invoice No
[Invoice No]</v>
      </c>
      <c r="I7" s="266"/>
      <c r="J7" s="266"/>
      <c r="K7" s="267"/>
    </row>
    <row r="8" spans="1:11" ht="13.5" customHeight="1">
      <c r="A8" s="9"/>
      <c r="G8" s="59"/>
      <c r="H8" s="268"/>
      <c r="I8" s="269"/>
      <c r="J8" s="269"/>
      <c r="K8" s="270"/>
    </row>
    <row r="9" spans="1:11" ht="13.5" customHeight="1">
      <c r="A9" s="47" t="s">
        <v>2</v>
      </c>
      <c r="B9" s="2"/>
      <c r="C9" s="2"/>
      <c r="D9" s="2"/>
      <c r="E9" s="2"/>
      <c r="F9" s="2"/>
      <c r="G9" s="60"/>
      <c r="H9" s="268"/>
      <c r="I9" s="269"/>
      <c r="J9" s="269"/>
      <c r="K9" s="270"/>
    </row>
    <row r="10" spans="1:11" ht="13.5" customHeight="1">
      <c r="A10" s="45" t="s">
        <v>3</v>
      </c>
      <c r="B10" s="1"/>
      <c r="C10" s="1"/>
      <c r="D10" s="1"/>
      <c r="E10" s="1"/>
      <c r="F10" s="1"/>
      <c r="G10" s="46"/>
      <c r="H10" s="271" t="s">
        <v>4</v>
      </c>
      <c r="I10" s="272"/>
      <c r="J10" s="275" t="s">
        <v>5</v>
      </c>
      <c r="K10" s="276"/>
    </row>
    <row r="11" spans="1:11" ht="24" customHeight="1">
      <c r="A11" s="45" t="s">
        <v>6</v>
      </c>
      <c r="B11" s="1"/>
      <c r="C11" s="1"/>
      <c r="D11" s="1"/>
      <c r="E11" s="1"/>
      <c r="F11" s="1"/>
      <c r="G11" s="46"/>
      <c r="H11" s="273"/>
      <c r="I11" s="274"/>
      <c r="J11" s="277"/>
      <c r="K11" s="278"/>
    </row>
    <row r="12" spans="1:11">
      <c r="A12" s="45" t="s">
        <v>7</v>
      </c>
      <c r="B12" s="1"/>
      <c r="C12" s="1"/>
      <c r="D12" s="1"/>
      <c r="E12" s="1"/>
      <c r="F12" s="283"/>
      <c r="G12" s="284"/>
      <c r="H12" s="279" t="s">
        <v>8</v>
      </c>
      <c r="I12" s="280"/>
      <c r="J12" s="281" t="s">
        <v>9</v>
      </c>
      <c r="K12" s="282"/>
    </row>
    <row r="13" spans="1:11">
      <c r="A13" s="45" t="s">
        <v>10</v>
      </c>
      <c r="B13" s="1"/>
      <c r="F13" s="244"/>
      <c r="G13" s="285"/>
      <c r="H13" s="256" t="s">
        <v>148</v>
      </c>
      <c r="I13" s="257"/>
      <c r="J13" s="257"/>
      <c r="K13" s="258"/>
    </row>
    <row r="14" spans="1:11" ht="6" customHeight="1">
      <c r="A14" s="10"/>
      <c r="B14" s="11"/>
      <c r="C14" s="11"/>
      <c r="D14" s="11"/>
      <c r="E14" s="11"/>
      <c r="F14" s="61"/>
      <c r="G14" s="62"/>
      <c r="H14" s="288" t="s">
        <v>12</v>
      </c>
      <c r="I14" s="289"/>
      <c r="J14" s="289"/>
      <c r="K14" s="290"/>
    </row>
    <row r="15" spans="1:11" ht="18" customHeight="1">
      <c r="A15" s="12" t="s">
        <v>13</v>
      </c>
      <c r="B15" s="13"/>
      <c r="C15" s="13"/>
      <c r="D15" s="13"/>
      <c r="E15" s="13"/>
      <c r="F15" s="13"/>
      <c r="G15" s="63"/>
      <c r="H15" s="261"/>
      <c r="I15" s="291"/>
      <c r="J15" s="291"/>
      <c r="K15" s="292"/>
    </row>
    <row r="16" spans="1:11" ht="13.5" hidden="1" customHeight="1">
      <c r="A16" s="14"/>
      <c r="G16" s="59"/>
      <c r="H16" s="261"/>
      <c r="I16" s="291"/>
      <c r="J16" s="291"/>
      <c r="K16" s="292"/>
    </row>
    <row r="17" spans="1:11" ht="6" customHeight="1">
      <c r="A17" s="14"/>
      <c r="G17" s="59"/>
      <c r="H17" s="261"/>
      <c r="I17" s="291"/>
      <c r="J17" s="291"/>
      <c r="K17" s="292"/>
    </row>
    <row r="18" spans="1:11" ht="20.25">
      <c r="A18" s="66" t="s">
        <v>14</v>
      </c>
      <c r="B18" s="1"/>
      <c r="C18" s="1"/>
      <c r="D18" s="1"/>
      <c r="E18" s="1"/>
      <c r="G18" s="59"/>
      <c r="H18" s="263"/>
      <c r="I18" s="293"/>
      <c r="J18" s="293"/>
      <c r="K18" s="294"/>
    </row>
    <row r="19" spans="1:11">
      <c r="A19" s="84" t="s">
        <v>15</v>
      </c>
      <c r="B19" s="1"/>
      <c r="C19" s="1"/>
      <c r="D19" s="1"/>
      <c r="E19" s="1"/>
      <c r="G19" s="59"/>
      <c r="H19" s="64" t="s">
        <v>16</v>
      </c>
      <c r="K19" s="15"/>
    </row>
    <row r="20" spans="1:11">
      <c r="A20" s="84" t="s">
        <v>17</v>
      </c>
      <c r="B20" s="1"/>
      <c r="C20" s="1"/>
      <c r="D20" s="1"/>
      <c r="E20" s="1"/>
      <c r="G20" s="59"/>
      <c r="H20" s="64"/>
      <c r="K20" s="15"/>
    </row>
    <row r="21" spans="1:11" ht="15" customHeight="1">
      <c r="A21" s="45" t="s">
        <v>18</v>
      </c>
      <c r="B21" s="1"/>
      <c r="C21" s="1"/>
      <c r="D21" s="133"/>
      <c r="E21" s="133"/>
      <c r="F21" s="286"/>
      <c r="G21" s="287"/>
      <c r="H21" s="64" t="s">
        <v>19</v>
      </c>
      <c r="K21" s="15"/>
    </row>
    <row r="22" spans="1:11" ht="15" customHeight="1">
      <c r="A22" s="419"/>
      <c r="B22" s="420"/>
      <c r="C22" s="420"/>
      <c r="D22" s="133"/>
      <c r="E22" s="133"/>
      <c r="F22" s="286"/>
      <c r="G22" s="287"/>
      <c r="H22" s="64" t="s">
        <v>20</v>
      </c>
      <c r="K22" s="15"/>
    </row>
    <row r="23" spans="1:11">
      <c r="A23" s="19"/>
      <c r="B23" s="20"/>
      <c r="C23" s="311"/>
      <c r="D23" s="311"/>
      <c r="E23" s="311"/>
      <c r="F23" s="311"/>
      <c r="G23" s="62"/>
      <c r="K23" s="15"/>
    </row>
    <row r="24" spans="1:11">
      <c r="A24" s="312" t="s">
        <v>21</v>
      </c>
      <c r="B24" s="313"/>
      <c r="C24" s="313"/>
      <c r="D24" s="313"/>
      <c r="E24" s="313"/>
      <c r="F24" s="313"/>
      <c r="G24" s="314"/>
      <c r="H24" s="64" t="s">
        <v>22</v>
      </c>
      <c r="K24" s="15"/>
    </row>
    <row r="25" spans="1:11">
      <c r="A25" s="315" t="s">
        <v>23</v>
      </c>
      <c r="B25" s="316"/>
      <c r="C25" s="316"/>
      <c r="D25" s="316"/>
      <c r="E25" s="316"/>
      <c r="F25" s="316"/>
      <c r="G25" s="317"/>
      <c r="H25" s="154" t="s">
        <v>167</v>
      </c>
      <c r="K25" s="15"/>
    </row>
    <row r="26" spans="1:11">
      <c r="A26" s="295" t="s">
        <v>25</v>
      </c>
      <c r="B26" s="296"/>
      <c r="C26" s="296"/>
      <c r="D26" s="296"/>
      <c r="E26" s="296"/>
      <c r="F26" s="296"/>
      <c r="G26" s="296"/>
      <c r="H26" s="5" t="s">
        <v>26</v>
      </c>
      <c r="K26" s="15"/>
    </row>
    <row r="27" spans="1:11" ht="15" customHeight="1" thickBot="1">
      <c r="A27" s="297" t="s">
        <v>27</v>
      </c>
      <c r="B27" s="298"/>
      <c r="C27" s="298"/>
      <c r="D27" s="298"/>
      <c r="E27" s="298"/>
      <c r="F27" s="298"/>
      <c r="G27" s="299"/>
      <c r="H27" s="99"/>
      <c r="I27" s="6"/>
      <c r="J27" s="6"/>
      <c r="K27" s="16"/>
    </row>
    <row r="28" spans="1:11" ht="15.75" thickBot="1">
      <c r="H28" s="100"/>
    </row>
    <row r="29" spans="1:11" ht="13.5" customHeight="1">
      <c r="A29" s="300" t="s">
        <v>28</v>
      </c>
      <c r="B29" s="301"/>
      <c r="C29" s="301"/>
      <c r="D29" s="304" t="s">
        <v>29</v>
      </c>
      <c r="E29" s="304" t="s">
        <v>30</v>
      </c>
      <c r="F29" s="308" t="s">
        <v>31</v>
      </c>
      <c r="G29" s="306" t="s">
        <v>32</v>
      </c>
      <c r="H29" s="421" t="s">
        <v>33</v>
      </c>
      <c r="I29" s="260"/>
      <c r="J29" s="306" t="s">
        <v>34</v>
      </c>
      <c r="K29" s="319"/>
    </row>
    <row r="30" spans="1:11" ht="7.5" customHeight="1">
      <c r="A30" s="302"/>
      <c r="B30" s="303"/>
      <c r="C30" s="303"/>
      <c r="D30" s="305"/>
      <c r="E30" s="305"/>
      <c r="F30" s="309"/>
      <c r="G30" s="303"/>
      <c r="H30" s="261"/>
      <c r="I30" s="262"/>
      <c r="J30" s="303"/>
      <c r="K30" s="320"/>
    </row>
    <row r="31" spans="1:11" ht="5.45" customHeight="1">
      <c r="A31" s="302"/>
      <c r="B31" s="303"/>
      <c r="C31" s="303"/>
      <c r="D31" s="305"/>
      <c r="E31" s="305"/>
      <c r="F31" s="309"/>
      <c r="G31" s="303"/>
      <c r="H31" s="261"/>
      <c r="I31" s="262"/>
      <c r="J31" s="303"/>
      <c r="K31" s="320"/>
    </row>
    <row r="32" spans="1:11" ht="15" customHeight="1">
      <c r="A32" s="302"/>
      <c r="B32" s="303"/>
      <c r="C32" s="303"/>
      <c r="D32" s="322"/>
      <c r="E32" s="305"/>
      <c r="F32" s="310"/>
      <c r="G32" s="307"/>
      <c r="H32" s="263"/>
      <c r="I32" s="264"/>
      <c r="J32" s="307"/>
      <c r="K32" s="321"/>
    </row>
    <row r="33" spans="1:12" ht="27.75" customHeight="1">
      <c r="A33" s="137">
        <v>1</v>
      </c>
      <c r="B33" s="422" t="s">
        <v>190</v>
      </c>
      <c r="C33" s="414"/>
      <c r="D33" s="148" t="str">
        <f>VLOOKUP(B33,データ!$B$3:$N$77,2,FALSE)</f>
        <v>DOOR CENTER SASH-S500H</v>
      </c>
      <c r="E33" s="147"/>
      <c r="F33" s="149" t="str">
        <f>VLOOKUP(B33,データ!$B$3:$N$37,13,FALSE)</f>
        <v>pcs</v>
      </c>
      <c r="G33" s="151">
        <v>600</v>
      </c>
      <c r="H33" s="413">
        <f>VLOOKUP(B33,データ!B1:D42,3,FALSE)</f>
        <v>7.94</v>
      </c>
      <c r="I33" s="413"/>
      <c r="J33" s="411">
        <f>H33*G33</f>
        <v>4764</v>
      </c>
      <c r="K33" s="412"/>
      <c r="L33" s="152"/>
    </row>
    <row r="34" spans="1:12" ht="27.75" customHeight="1">
      <c r="A34" s="137">
        <v>2</v>
      </c>
      <c r="B34" s="414" t="s">
        <v>166</v>
      </c>
      <c r="C34" s="414"/>
      <c r="D34" s="148" t="str">
        <f>VLOOKUP(B34,データ!$B$3:$N$77,2,FALSE)</f>
        <v>RAIL TOP</v>
      </c>
      <c r="E34" s="147"/>
      <c r="F34" s="149" t="str">
        <f>VLOOKUP(B34,データ!$B$3:$N$37,13,FALSE)</f>
        <v>pcs</v>
      </c>
      <c r="G34" s="151">
        <v>600</v>
      </c>
      <c r="H34" s="413">
        <f>VLOOKUP(B34,データ!B2:D43,3,FALSE)</f>
        <v>6.55</v>
      </c>
      <c r="I34" s="413"/>
      <c r="J34" s="411">
        <f>H34*G34</f>
        <v>3930</v>
      </c>
      <c r="K34" s="412"/>
      <c r="L34" s="152"/>
    </row>
    <row r="35" spans="1:12" ht="27.75" customHeight="1">
      <c r="A35" s="137">
        <v>3</v>
      </c>
      <c r="B35" s="414" t="s">
        <v>109</v>
      </c>
      <c r="C35" s="414"/>
      <c r="D35" s="148" t="str">
        <f>VLOOKUP(B35,データ!$B$3:$N$77,2,FALSE)</f>
        <v>RAIL BOTTOM</v>
      </c>
      <c r="E35" s="147"/>
      <c r="F35" s="149" t="str">
        <f>VLOOKUP(B35,データ!$B$3:$N$37,13,FALSE)</f>
        <v>pcs</v>
      </c>
      <c r="G35" s="151">
        <v>600</v>
      </c>
      <c r="H35" s="413">
        <f>VLOOKUP(B35,データ!B1:D43,3,FALSE)</f>
        <v>8.67</v>
      </c>
      <c r="I35" s="413"/>
      <c r="J35" s="411">
        <f t="shared" ref="J35:J42" si="0">H35*G35</f>
        <v>5202</v>
      </c>
      <c r="K35" s="412"/>
      <c r="L35" s="152"/>
    </row>
    <row r="36" spans="1:12" ht="27.75" customHeight="1">
      <c r="A36" s="137">
        <f t="shared" ref="A36:A46" si="1">A35+1</f>
        <v>4</v>
      </c>
      <c r="B36" s="415" t="s">
        <v>52</v>
      </c>
      <c r="C36" s="416"/>
      <c r="D36" s="148" t="str">
        <f>VLOOKUP(B36,データ!$B$3:$N$77,2,FALSE)</f>
        <v>RAIL SIDE</v>
      </c>
      <c r="E36" s="147"/>
      <c r="F36" s="149" t="str">
        <f>VLOOKUP(B36,データ!$B$3:$N$37,13,FALSE)</f>
        <v>pcs</v>
      </c>
      <c r="G36" s="151">
        <v>600</v>
      </c>
      <c r="H36" s="413">
        <f>VLOOKUP(B36,データ!B1:D44,3,FALSE)</f>
        <v>4.2699999999999996</v>
      </c>
      <c r="I36" s="413"/>
      <c r="J36" s="411">
        <f t="shared" si="0"/>
        <v>2561.9999999999995</v>
      </c>
      <c r="K36" s="412"/>
      <c r="L36" s="153"/>
    </row>
    <row r="37" spans="1:12" ht="27.75" customHeight="1">
      <c r="A37" s="137">
        <f t="shared" si="1"/>
        <v>5</v>
      </c>
      <c r="B37" s="415" t="s">
        <v>53</v>
      </c>
      <c r="C37" s="416"/>
      <c r="D37" s="148" t="str">
        <f>VLOOKUP(B37,データ!$B$3:$N$77,2,FALSE)</f>
        <v>RAIL SIDE</v>
      </c>
      <c r="E37" s="147"/>
      <c r="F37" s="149" t="str">
        <f>VLOOKUP(B37,データ!$B$3:$N$37,13,FALSE)</f>
        <v>pcs</v>
      </c>
      <c r="G37" s="151">
        <v>1200</v>
      </c>
      <c r="H37" s="413">
        <f>VLOOKUP(B37,データ!B1:D45,3,FALSE)</f>
        <v>7.8</v>
      </c>
      <c r="I37" s="413"/>
      <c r="J37" s="411">
        <f t="shared" si="0"/>
        <v>9360</v>
      </c>
      <c r="K37" s="412"/>
      <c r="L37" s="153"/>
    </row>
    <row r="38" spans="1:12" ht="27.75" customHeight="1">
      <c r="A38" s="137">
        <f t="shared" si="1"/>
        <v>6</v>
      </c>
      <c r="B38" s="417" t="s">
        <v>43</v>
      </c>
      <c r="C38" s="418"/>
      <c r="D38" s="148" t="str">
        <f>VLOOKUP(B38,データ!$B$3:$N$77,2,FALSE)</f>
        <v>DOOR LOWER SASH R</v>
      </c>
      <c r="E38" s="147"/>
      <c r="F38" s="149" t="str">
        <f>VLOOKUP(B38,データ!$B$3:$N$37,13,FALSE)</f>
        <v>pcs</v>
      </c>
      <c r="G38" s="151">
        <v>600</v>
      </c>
      <c r="H38" s="413">
        <f>VLOOKUP(B38,データ!B1:D46,3,FALSE)</f>
        <v>6.22</v>
      </c>
      <c r="I38" s="413"/>
      <c r="J38" s="411">
        <f t="shared" si="0"/>
        <v>3732</v>
      </c>
      <c r="K38" s="412"/>
      <c r="L38" s="153"/>
    </row>
    <row r="39" spans="1:12" ht="27.75" customHeight="1">
      <c r="A39" s="137">
        <f t="shared" si="1"/>
        <v>7</v>
      </c>
      <c r="B39" s="417" t="s">
        <v>44</v>
      </c>
      <c r="C39" s="418"/>
      <c r="D39" s="148" t="str">
        <f>VLOOKUP(B39,データ!$B$3:$N$77,2,FALSE)</f>
        <v>DOOR LOWER SASH L</v>
      </c>
      <c r="E39" s="147"/>
      <c r="F39" s="149" t="str">
        <f>VLOOKUP(B39,データ!$B$3:$N$37,13,FALSE)</f>
        <v>pcs</v>
      </c>
      <c r="G39" s="151">
        <v>600</v>
      </c>
      <c r="H39" s="413">
        <f>VLOOKUP(B39,データ!B2:D47,3,FALSE)</f>
        <v>5.84</v>
      </c>
      <c r="I39" s="413"/>
      <c r="J39" s="411">
        <f t="shared" ref="J39" si="2">H39*G39</f>
        <v>3504</v>
      </c>
      <c r="K39" s="412"/>
      <c r="L39" s="153"/>
    </row>
    <row r="40" spans="1:12" ht="27.75" customHeight="1">
      <c r="A40" s="137">
        <f t="shared" si="1"/>
        <v>8</v>
      </c>
      <c r="B40" s="417" t="s">
        <v>159</v>
      </c>
      <c r="C40" s="418"/>
      <c r="D40" s="148" t="e">
        <f>VLOOKUP(B40,データ!$B$3:$N$77,2,FALSE)</f>
        <v>#N/A</v>
      </c>
      <c r="E40" s="147"/>
      <c r="F40" s="149" t="e">
        <f>VLOOKUP(B40,データ!$B$3:$N$37,13,FALSE)</f>
        <v>#N/A</v>
      </c>
      <c r="G40" s="151">
        <v>320</v>
      </c>
      <c r="H40" s="413" t="e">
        <f>VLOOKUP(B40,データ!B2:D47,3,FALSE)</f>
        <v>#N/A</v>
      </c>
      <c r="I40" s="413"/>
      <c r="J40" s="411" t="e">
        <f t="shared" si="0"/>
        <v>#N/A</v>
      </c>
      <c r="K40" s="412"/>
      <c r="L40" s="152"/>
    </row>
    <row r="41" spans="1:12" ht="27.75" customHeight="1">
      <c r="A41" s="137">
        <f t="shared" si="1"/>
        <v>9</v>
      </c>
      <c r="B41" s="417" t="s">
        <v>35</v>
      </c>
      <c r="C41" s="418"/>
      <c r="D41" s="148" t="str">
        <f>VLOOKUP(B41,データ!$B$3:$N$77,2,FALSE)</f>
        <v xml:space="preserve"> LIGHT COVER-S500H</v>
      </c>
      <c r="E41" s="147"/>
      <c r="F41" s="149" t="str">
        <f>VLOOKUP(B41,データ!$B$3:$N$37,13,FALSE)</f>
        <v>pcs</v>
      </c>
      <c r="G41" s="151">
        <v>300</v>
      </c>
      <c r="H41" s="413">
        <f>VLOOKUP(B41,データ!B3:D48,3,FALSE)</f>
        <v>2.81</v>
      </c>
      <c r="I41" s="413"/>
      <c r="J41" s="411">
        <f t="shared" ref="J41" si="3">H41*G41</f>
        <v>843</v>
      </c>
      <c r="K41" s="412"/>
      <c r="L41" s="152"/>
    </row>
    <row r="42" spans="1:12" ht="27.75" customHeight="1">
      <c r="A42" s="137">
        <f t="shared" si="1"/>
        <v>10</v>
      </c>
      <c r="B42" s="417" t="s">
        <v>150</v>
      </c>
      <c r="C42" s="418"/>
      <c r="D42" s="148" t="str">
        <f>VLOOKUP(B42,データ!$B$3:$N$77,2,FALSE)</f>
        <v>DOOR UPPER SASH L-S150H</v>
      </c>
      <c r="E42" s="147"/>
      <c r="F42" s="149" t="str">
        <f>VLOOKUP(B42,データ!$B$3:$N$37,13,FALSE)</f>
        <v>pcs</v>
      </c>
      <c r="G42" s="151">
        <v>600</v>
      </c>
      <c r="H42" s="413">
        <f>VLOOKUP(B42,データ!B3:D48,3,FALSE)</f>
        <v>4.59</v>
      </c>
      <c r="I42" s="413"/>
      <c r="J42" s="411">
        <f t="shared" si="0"/>
        <v>2754</v>
      </c>
      <c r="K42" s="412"/>
      <c r="L42" s="153"/>
    </row>
    <row r="43" spans="1:12" ht="27.75" customHeight="1">
      <c r="A43" s="137">
        <f t="shared" si="1"/>
        <v>11</v>
      </c>
      <c r="B43" s="415" t="s">
        <v>36</v>
      </c>
      <c r="C43" s="416"/>
      <c r="D43" s="148" t="str">
        <f>VLOOKUP(B43,データ!$B$3:$N$77,2,FALSE)</f>
        <v>RAIL TOP-S500H</v>
      </c>
      <c r="E43" s="147"/>
      <c r="F43" s="149" t="str">
        <f>VLOOKUP(B43,データ!$B$3:$N$37,13,FALSE)</f>
        <v>pcs</v>
      </c>
      <c r="G43" s="151">
        <v>300</v>
      </c>
      <c r="H43" s="413">
        <f>VLOOKUP(B43,データ!B6:D50,3,FALSE)</f>
        <v>6.13</v>
      </c>
      <c r="I43" s="413"/>
      <c r="J43" s="411">
        <f t="shared" ref="J43" si="4">H43*G43</f>
        <v>1839</v>
      </c>
      <c r="K43" s="412"/>
      <c r="L43" s="153"/>
    </row>
    <row r="44" spans="1:12" ht="27.75" customHeight="1">
      <c r="A44" s="137">
        <f t="shared" si="1"/>
        <v>12</v>
      </c>
      <c r="B44" s="415" t="s">
        <v>37</v>
      </c>
      <c r="C44" s="416"/>
      <c r="D44" s="148" t="str">
        <f>VLOOKUP(B44,データ!$B$3:$N$77,2,FALSE)</f>
        <v xml:space="preserve"> RAIL BOTTOM-S500H</v>
      </c>
      <c r="E44" s="147"/>
      <c r="F44" s="149" t="str">
        <f>VLOOKUP(B44,データ!$B$3:$N$37,13,FALSE)</f>
        <v>pcs</v>
      </c>
      <c r="G44" s="151">
        <v>300</v>
      </c>
      <c r="H44" s="413">
        <f>VLOOKUP(B44,データ!B7:D51,3,FALSE)</f>
        <v>9.8699999999999992</v>
      </c>
      <c r="I44" s="413"/>
      <c r="J44" s="411">
        <f t="shared" ref="J44:J45" si="5">H44*G44</f>
        <v>2960.9999999999995</v>
      </c>
      <c r="K44" s="412"/>
      <c r="L44" s="153"/>
    </row>
    <row r="45" spans="1:12" ht="27.75" customHeight="1">
      <c r="A45" s="137">
        <f t="shared" si="1"/>
        <v>13</v>
      </c>
      <c r="B45" s="417" t="s">
        <v>149</v>
      </c>
      <c r="C45" s="418"/>
      <c r="D45" s="148" t="str">
        <f>VLOOKUP(B45,データ!$B$3:$N$77,2,FALSE)</f>
        <v>DOOR UPPER SASH R-S150H</v>
      </c>
      <c r="E45" s="147"/>
      <c r="F45" s="149" t="str">
        <f>VLOOKUP(B45,データ!$B$3:$N$37,13,FALSE)</f>
        <v>pcs</v>
      </c>
      <c r="G45" s="151">
        <v>600</v>
      </c>
      <c r="H45" s="413">
        <f>VLOOKUP(B45,データ!B8:D52,3,FALSE)</f>
        <v>4.59</v>
      </c>
      <c r="I45" s="413"/>
      <c r="J45" s="411">
        <f t="shared" si="5"/>
        <v>2754</v>
      </c>
      <c r="K45" s="412"/>
      <c r="L45" s="153"/>
    </row>
    <row r="46" spans="1:12" ht="27.75" customHeight="1">
      <c r="A46" s="137">
        <f t="shared" si="1"/>
        <v>14</v>
      </c>
      <c r="B46" s="417"/>
      <c r="C46" s="418"/>
      <c r="D46" s="148"/>
      <c r="E46" s="147"/>
      <c r="F46" s="149"/>
      <c r="G46" s="123"/>
      <c r="H46" s="413"/>
      <c r="I46" s="413"/>
      <c r="J46" s="411"/>
      <c r="K46" s="412"/>
      <c r="L46" s="153"/>
    </row>
    <row r="47" spans="1:12" ht="27.75" customHeight="1">
      <c r="A47" s="137"/>
      <c r="B47" s="417"/>
      <c r="C47" s="418"/>
      <c r="D47" s="148"/>
      <c r="E47" s="147"/>
      <c r="F47" s="149"/>
      <c r="G47" s="123"/>
      <c r="H47" s="413"/>
      <c r="I47" s="413"/>
      <c r="J47" s="411"/>
      <c r="K47" s="412"/>
      <c r="L47" s="153"/>
    </row>
    <row r="48" spans="1:12" ht="27.75" customHeight="1">
      <c r="A48" s="137"/>
      <c r="B48" s="417"/>
      <c r="C48" s="418"/>
      <c r="D48" s="148"/>
      <c r="E48" s="147"/>
      <c r="F48" s="149"/>
      <c r="G48" s="123"/>
      <c r="H48" s="413"/>
      <c r="I48" s="413"/>
      <c r="J48" s="411"/>
      <c r="K48" s="412"/>
      <c r="L48" s="153"/>
    </row>
    <row r="49" spans="1:12" ht="27.75" customHeight="1">
      <c r="A49" s="137"/>
      <c r="B49" s="417"/>
      <c r="C49" s="418"/>
      <c r="D49" s="148"/>
      <c r="E49" s="147"/>
      <c r="F49" s="149"/>
      <c r="G49" s="123"/>
      <c r="H49" s="413"/>
      <c r="I49" s="413"/>
      <c r="J49" s="411"/>
      <c r="K49" s="412"/>
      <c r="L49" s="153"/>
    </row>
    <row r="50" spans="1:12" ht="27.75" customHeight="1">
      <c r="A50" s="137"/>
      <c r="B50" s="417"/>
      <c r="C50" s="418"/>
      <c r="D50" s="148"/>
      <c r="E50" s="147"/>
      <c r="F50" s="149"/>
      <c r="G50" s="123"/>
      <c r="H50" s="413"/>
      <c r="I50" s="413"/>
      <c r="J50" s="411"/>
      <c r="K50" s="412"/>
      <c r="L50" s="153"/>
    </row>
    <row r="51" spans="1:12" ht="27.75" customHeight="1">
      <c r="A51" s="137"/>
      <c r="B51" s="417"/>
      <c r="C51" s="418"/>
      <c r="D51" s="148"/>
      <c r="E51" s="147"/>
      <c r="F51" s="149"/>
      <c r="G51" s="123"/>
      <c r="H51" s="413"/>
      <c r="I51" s="413"/>
      <c r="J51" s="411"/>
      <c r="K51" s="412"/>
      <c r="L51" s="153"/>
    </row>
    <row r="52" spans="1:12" ht="27.75" customHeight="1">
      <c r="A52" s="137"/>
      <c r="B52" s="417"/>
      <c r="C52" s="418"/>
      <c r="D52" s="148"/>
      <c r="E52" s="147"/>
      <c r="F52" s="149"/>
      <c r="G52" s="123"/>
      <c r="H52" s="413"/>
      <c r="I52" s="413"/>
      <c r="J52" s="411"/>
      <c r="K52" s="412"/>
      <c r="L52" s="153"/>
    </row>
    <row r="53" spans="1:12" ht="27.75" customHeight="1">
      <c r="A53" s="137"/>
      <c r="B53" s="417"/>
      <c r="C53" s="418"/>
      <c r="D53" s="148"/>
      <c r="E53" s="147"/>
      <c r="F53" s="149"/>
      <c r="G53" s="123"/>
      <c r="H53" s="413"/>
      <c r="I53" s="413"/>
      <c r="J53" s="411"/>
      <c r="K53" s="412"/>
      <c r="L53" s="153"/>
    </row>
    <row r="54" spans="1:12" ht="18.75" customHeight="1" thickBot="1">
      <c r="A54" s="248" t="s">
        <v>54</v>
      </c>
      <c r="B54" s="249"/>
      <c r="C54" s="249"/>
      <c r="D54" s="249"/>
      <c r="E54" s="249"/>
      <c r="F54" s="249"/>
      <c r="G54" s="249"/>
      <c r="H54" s="249"/>
      <c r="I54" s="250"/>
      <c r="J54" s="423" t="e">
        <f>SUM(J33:K53)</f>
        <v>#N/A</v>
      </c>
      <c r="K54" s="424"/>
      <c r="L54"/>
    </row>
    <row r="55" spans="1:12" ht="13.5" customHeight="1">
      <c r="L55"/>
    </row>
    <row r="56" spans="1:12" ht="20.100000000000001" customHeight="1">
      <c r="A56" s="247" t="s">
        <v>55</v>
      </c>
      <c r="B56" s="247"/>
      <c r="C56" s="247"/>
      <c r="D56" s="247"/>
      <c r="E56" s="247"/>
      <c r="H56" s="244" t="s">
        <v>56</v>
      </c>
      <c r="I56" s="244"/>
      <c r="J56" s="244"/>
      <c r="K56" s="65"/>
      <c r="L56"/>
    </row>
    <row r="57" spans="1:12" ht="20.100000000000001" customHeight="1">
      <c r="A57" s="144" t="s">
        <v>57</v>
      </c>
      <c r="B57" s="144"/>
      <c r="C57" s="144"/>
      <c r="D57" s="144"/>
      <c r="E57" s="139"/>
      <c r="F57" s="18"/>
      <c r="G57" s="18"/>
      <c r="H57" s="18"/>
      <c r="I57" s="18"/>
      <c r="L57"/>
    </row>
    <row r="58" spans="1:12" ht="20.25" customHeight="1">
      <c r="A58" s="18"/>
      <c r="B58" s="18"/>
      <c r="C58" s="18"/>
      <c r="D58" s="136"/>
      <c r="E58" s="136"/>
      <c r="F58" s="18"/>
      <c r="G58" s="18"/>
      <c r="H58" s="18"/>
      <c r="I58" s="18"/>
      <c r="L58"/>
    </row>
    <row r="59" spans="1:12" ht="20.100000000000001" customHeight="1">
      <c r="A59" s="18"/>
      <c r="B59" s="18"/>
      <c r="C59" s="18"/>
      <c r="D59" s="139"/>
      <c r="E59" s="139"/>
      <c r="F59" s="18"/>
      <c r="G59" s="18"/>
      <c r="H59" s="18"/>
      <c r="I59" s="18"/>
      <c r="L59"/>
    </row>
    <row r="60" spans="1:12">
      <c r="L60"/>
    </row>
    <row r="61" spans="1:12">
      <c r="L61"/>
    </row>
    <row r="62" spans="1:12">
      <c r="L62"/>
    </row>
    <row r="63" spans="1:12">
      <c r="L63"/>
    </row>
    <row r="64" spans="1:12">
      <c r="L64"/>
    </row>
  </sheetData>
  <sortState xmlns:xlrd2="http://schemas.microsoft.com/office/spreadsheetml/2017/richdata2" ref="B33:C45">
    <sortCondition ref="B33:B45"/>
  </sortState>
  <dataConsolidate/>
  <mergeCells count="92">
    <mergeCell ref="H49:I49"/>
    <mergeCell ref="B46:C46"/>
    <mergeCell ref="B47:C47"/>
    <mergeCell ref="B48:C48"/>
    <mergeCell ref="B49:C49"/>
    <mergeCell ref="H46:I46"/>
    <mergeCell ref="J46:K46"/>
    <mergeCell ref="H47:I47"/>
    <mergeCell ref="J47:K47"/>
    <mergeCell ref="H48:I48"/>
    <mergeCell ref="J48:K48"/>
    <mergeCell ref="H45:I45"/>
    <mergeCell ref="J45:K45"/>
    <mergeCell ref="A56:E56"/>
    <mergeCell ref="H56:J56"/>
    <mergeCell ref="A54:I54"/>
    <mergeCell ref="J54:K54"/>
    <mergeCell ref="B50:C50"/>
    <mergeCell ref="J49:K49"/>
    <mergeCell ref="H50:I50"/>
    <mergeCell ref="J50:K50"/>
    <mergeCell ref="H51:I51"/>
    <mergeCell ref="J51:K51"/>
    <mergeCell ref="B51:C51"/>
    <mergeCell ref="H52:I52"/>
    <mergeCell ref="B52:C52"/>
    <mergeCell ref="B53:C53"/>
    <mergeCell ref="B42:C42"/>
    <mergeCell ref="H42:I42"/>
    <mergeCell ref="J42:K42"/>
    <mergeCell ref="B38:C38"/>
    <mergeCell ref="H44:I44"/>
    <mergeCell ref="J44:K44"/>
    <mergeCell ref="B43:C43"/>
    <mergeCell ref="H43:I43"/>
    <mergeCell ref="J43:K43"/>
    <mergeCell ref="J40:K40"/>
    <mergeCell ref="A25:G25"/>
    <mergeCell ref="A26:G26"/>
    <mergeCell ref="A27:G27"/>
    <mergeCell ref="H33:I33"/>
    <mergeCell ref="J33:K33"/>
    <mergeCell ref="H29:I32"/>
    <mergeCell ref="J29:K32"/>
    <mergeCell ref="B33:C33"/>
    <mergeCell ref="A29:C32"/>
    <mergeCell ref="D29:D32"/>
    <mergeCell ref="E29:E32"/>
    <mergeCell ref="F29:F32"/>
    <mergeCell ref="G29:G32"/>
    <mergeCell ref="C23:F23"/>
    <mergeCell ref="A24:G24"/>
    <mergeCell ref="A1:K4"/>
    <mergeCell ref="H7:K9"/>
    <mergeCell ref="H10:I11"/>
    <mergeCell ref="J10:K11"/>
    <mergeCell ref="F12:G12"/>
    <mergeCell ref="H12:I12"/>
    <mergeCell ref="J12:K12"/>
    <mergeCell ref="F13:G13"/>
    <mergeCell ref="H13:K13"/>
    <mergeCell ref="H14:K18"/>
    <mergeCell ref="F21:G21"/>
    <mergeCell ref="A22:C22"/>
    <mergeCell ref="F22:G22"/>
    <mergeCell ref="B36:C36"/>
    <mergeCell ref="H36:I36"/>
    <mergeCell ref="J36:K36"/>
    <mergeCell ref="B35:C35"/>
    <mergeCell ref="H35:I35"/>
    <mergeCell ref="J35:K35"/>
    <mergeCell ref="B37:C37"/>
    <mergeCell ref="H37:I37"/>
    <mergeCell ref="J37:K37"/>
    <mergeCell ref="H38:I38"/>
    <mergeCell ref="J38:K38"/>
    <mergeCell ref="J52:K52"/>
    <mergeCell ref="H53:I53"/>
    <mergeCell ref="J53:K53"/>
    <mergeCell ref="B34:C34"/>
    <mergeCell ref="H34:I34"/>
    <mergeCell ref="J34:K34"/>
    <mergeCell ref="B44:C44"/>
    <mergeCell ref="B45:C45"/>
    <mergeCell ref="B39:C39"/>
    <mergeCell ref="H39:I39"/>
    <mergeCell ref="J39:K39"/>
    <mergeCell ref="B41:C41"/>
    <mergeCell ref="H41:I41"/>
    <mergeCell ref="J41:K41"/>
    <mergeCell ref="B40:C40"/>
    <mergeCell ref="H40:I40"/>
  </mergeCells>
  <phoneticPr fontId="53" type="noConversion"/>
  <pageMargins left="0.44" right="0.16" top="0.22" bottom="0.16" header="0.3" footer="0.16"/>
  <pageSetup paperSize="9" scale="8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データ!$B$3:$B$37</xm:f>
          </x14:formula1>
          <xm:sqref>B33:B53 L33:L53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1"/>
  <sheetViews>
    <sheetView topLeftCell="A37" workbookViewId="0">
      <selection activeCell="A27" sqref="A27:H27"/>
    </sheetView>
  </sheetViews>
  <sheetFormatPr defaultColWidth="9" defaultRowHeight="15"/>
  <cols>
    <col min="1" max="1" width="4.875" style="5" customWidth="1"/>
    <col min="2" max="2" width="9" style="5"/>
    <col min="3" max="3" width="5.875" style="5" customWidth="1"/>
    <col min="4" max="4" width="26.625" style="5" customWidth="1"/>
    <col min="5" max="5" width="13.375" style="5" customWidth="1"/>
    <col min="6" max="6" width="6.375" style="5" customWidth="1"/>
    <col min="7" max="7" width="10.125" style="5" customWidth="1"/>
    <col min="8" max="8" width="2.375" style="5" customWidth="1"/>
    <col min="9" max="9" width="9.875" style="5" customWidth="1"/>
    <col min="10" max="10" width="8.875" style="5" customWidth="1"/>
    <col min="11" max="11" width="10.375" style="5" customWidth="1"/>
    <col min="12" max="12" width="10" style="5" customWidth="1"/>
    <col min="13" max="13" width="10.125" style="5" customWidth="1"/>
    <col min="14" max="14" width="1.375" style="5" hidden="1" customWidth="1"/>
    <col min="15" max="17" width="11.625" style="5" customWidth="1"/>
    <col min="18" max="18" width="10.375" style="5" bestFit="1" customWidth="1"/>
    <col min="19" max="20" width="9" style="5"/>
    <col min="21" max="21" width="10" style="5" bestFit="1" customWidth="1"/>
    <col min="22" max="16384" width="9" style="5"/>
  </cols>
  <sheetData>
    <row r="1" spans="1:14" ht="15" customHeight="1">
      <c r="A1" s="255" t="s">
        <v>58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4" ht="15" customHeight="1">
      <c r="A2" s="255"/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</row>
    <row r="3" spans="1:14" ht="15" customHeight="1">
      <c r="A3" s="255"/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</row>
    <row r="4" spans="1:14" ht="4.5" customHeight="1">
      <c r="A4" s="255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</row>
    <row r="5" spans="1:14">
      <c r="I5" s="453" t="str">
        <f>'PACKING LIST'!I5:M5</f>
        <v>インボイス作成日（Date): 24/11/2025</v>
      </c>
      <c r="J5" s="453"/>
      <c r="K5" s="453"/>
      <c r="L5" s="453"/>
      <c r="M5" s="453"/>
    </row>
    <row r="7" spans="1:14" ht="9.75" customHeight="1" thickBot="1"/>
    <row r="8" spans="1:14" ht="14.25" customHeight="1">
      <c r="A8" s="7" t="s">
        <v>1</v>
      </c>
      <c r="B8" s="8"/>
      <c r="C8" s="8"/>
      <c r="D8" s="8"/>
      <c r="E8" s="8"/>
      <c r="F8" s="8"/>
      <c r="G8" s="8"/>
      <c r="H8" s="28"/>
      <c r="I8" s="265" t="s">
        <v>169</v>
      </c>
      <c r="J8" s="454"/>
      <c r="K8" s="454"/>
      <c r="L8" s="454"/>
      <c r="M8" s="455"/>
      <c r="N8" s="15"/>
    </row>
    <row r="9" spans="1:14" ht="9.75" customHeight="1">
      <c r="A9" s="9"/>
      <c r="H9" s="26"/>
      <c r="I9" s="456"/>
      <c r="J9" s="457"/>
      <c r="K9" s="457"/>
      <c r="L9" s="457"/>
      <c r="M9" s="458"/>
      <c r="N9" s="15"/>
    </row>
    <row r="10" spans="1:14" ht="12.75" customHeight="1">
      <c r="A10" s="47" t="s">
        <v>2</v>
      </c>
      <c r="B10" s="2"/>
      <c r="C10" s="2"/>
      <c r="D10" s="2"/>
      <c r="E10" s="2"/>
      <c r="F10" s="2"/>
      <c r="G10" s="25"/>
      <c r="H10" s="26"/>
      <c r="I10" s="459"/>
      <c r="J10" s="460"/>
      <c r="K10" s="460"/>
      <c r="L10" s="460"/>
      <c r="M10" s="461"/>
      <c r="N10" s="15"/>
    </row>
    <row r="11" spans="1:14" ht="15" customHeight="1">
      <c r="A11" s="45" t="s">
        <v>3</v>
      </c>
      <c r="B11" s="1"/>
      <c r="C11" s="1"/>
      <c r="D11" s="1"/>
      <c r="E11" s="1"/>
      <c r="F11" s="2"/>
      <c r="G11" s="3"/>
      <c r="H11" s="26"/>
      <c r="I11" s="271" t="s">
        <v>59</v>
      </c>
      <c r="J11" s="462"/>
      <c r="K11" s="463"/>
      <c r="L11" s="271" t="s">
        <v>5</v>
      </c>
      <c r="M11" s="467"/>
      <c r="N11" s="124"/>
    </row>
    <row r="12" spans="1:14">
      <c r="A12" s="45" t="s">
        <v>6</v>
      </c>
      <c r="B12" s="1"/>
      <c r="C12" s="1"/>
      <c r="D12" s="1"/>
      <c r="E12" s="1"/>
      <c r="F12" s="2"/>
      <c r="G12" s="3"/>
      <c r="H12" s="26"/>
      <c r="I12" s="464"/>
      <c r="J12" s="465"/>
      <c r="K12" s="466"/>
      <c r="L12" s="464"/>
      <c r="M12" s="468"/>
      <c r="N12" s="104"/>
    </row>
    <row r="13" spans="1:14">
      <c r="A13" s="45" t="s">
        <v>7</v>
      </c>
      <c r="B13" s="1"/>
      <c r="C13" s="1"/>
      <c r="D13" s="1"/>
      <c r="E13" s="1"/>
      <c r="F13" s="40"/>
      <c r="G13" s="134"/>
      <c r="H13" s="26"/>
      <c r="I13" s="279" t="s">
        <v>8</v>
      </c>
      <c r="J13" s="281"/>
      <c r="K13" s="280"/>
      <c r="L13" s="279" t="s">
        <v>60</v>
      </c>
      <c r="M13" s="282"/>
      <c r="N13" s="125"/>
    </row>
    <row r="14" spans="1:14">
      <c r="A14" s="45" t="s">
        <v>10</v>
      </c>
      <c r="B14" s="1"/>
      <c r="F14" s="24"/>
      <c r="G14" s="39"/>
      <c r="H14" s="26"/>
      <c r="I14" s="469" t="s">
        <v>11</v>
      </c>
      <c r="J14" s="469"/>
      <c r="K14" s="469"/>
      <c r="L14" s="470"/>
      <c r="M14" s="471"/>
      <c r="N14" s="15"/>
    </row>
    <row r="15" spans="1:14" ht="10.5" customHeight="1">
      <c r="A15" s="45"/>
      <c r="B15" s="1"/>
      <c r="F15" s="39"/>
      <c r="G15" s="39"/>
      <c r="H15" s="26"/>
      <c r="I15" s="472" t="str">
        <f>INVOICE!H14</f>
        <v>Invoice will be closed on delivery day and payment after 60days</v>
      </c>
      <c r="J15" s="473"/>
      <c r="K15" s="473"/>
      <c r="L15" s="473"/>
      <c r="M15" s="474"/>
      <c r="N15" s="15"/>
    </row>
    <row r="16" spans="1:14" ht="11.25" customHeight="1">
      <c r="A16" s="10"/>
      <c r="B16" s="11"/>
      <c r="C16" s="11"/>
      <c r="D16" s="11"/>
      <c r="E16" s="11"/>
      <c r="F16" s="11"/>
      <c r="G16" s="11"/>
      <c r="H16" s="27"/>
      <c r="I16" s="472"/>
      <c r="J16" s="473"/>
      <c r="K16" s="473"/>
      <c r="L16" s="473"/>
      <c r="M16" s="474"/>
      <c r="N16" s="15"/>
    </row>
    <row r="17" spans="1:21">
      <c r="A17" s="12" t="s">
        <v>13</v>
      </c>
      <c r="B17" s="13"/>
      <c r="C17" s="13"/>
      <c r="D17" s="13"/>
      <c r="E17" s="13"/>
      <c r="F17" s="13"/>
      <c r="G17" s="13"/>
      <c r="H17" s="26"/>
      <c r="I17" s="475"/>
      <c r="J17" s="476"/>
      <c r="K17" s="476"/>
      <c r="L17" s="476"/>
      <c r="M17" s="477"/>
      <c r="N17" s="15"/>
    </row>
    <row r="18" spans="1:21" ht="15" hidden="1" customHeight="1">
      <c r="A18" s="14"/>
      <c r="H18" s="23"/>
      <c r="I18" s="11"/>
      <c r="J18" s="11"/>
      <c r="K18" s="22"/>
      <c r="L18" s="15"/>
      <c r="M18" s="15"/>
      <c r="N18" s="15"/>
    </row>
    <row r="19" spans="1:21" ht="6" customHeight="1">
      <c r="A19" s="14"/>
      <c r="H19" s="26"/>
      <c r="K19" s="13"/>
      <c r="M19" s="15"/>
      <c r="N19" s="15"/>
    </row>
    <row r="20" spans="1:21" ht="20.25">
      <c r="A20" s="66" t="s">
        <v>14</v>
      </c>
      <c r="B20" s="1"/>
      <c r="C20" s="1"/>
      <c r="D20" s="1"/>
      <c r="E20" s="1"/>
      <c r="H20" s="26"/>
      <c r="I20" s="5" t="s">
        <v>16</v>
      </c>
      <c r="M20" s="15"/>
      <c r="N20" s="15"/>
    </row>
    <row r="21" spans="1:21">
      <c r="A21" s="9" t="str">
        <f>INVOICE!A19</f>
        <v xml:space="preserve">KAWASAN INDUSTRIAL EJIP PLOT 1E-2  SUKARESMI CIKARANG SELATAN </v>
      </c>
      <c r="B21" s="1"/>
      <c r="C21" s="1"/>
      <c r="D21" s="1"/>
      <c r="E21" s="1"/>
      <c r="H21" s="26"/>
      <c r="M21" s="15"/>
      <c r="N21" s="15"/>
    </row>
    <row r="22" spans="1:21">
      <c r="A22" s="45">
        <f>INVOICE!A20</f>
        <v>0</v>
      </c>
      <c r="B22" s="1"/>
      <c r="C22" s="1"/>
      <c r="D22" s="1"/>
      <c r="E22" s="1"/>
      <c r="H22" s="26"/>
      <c r="I22" s="5" t="s">
        <v>61</v>
      </c>
      <c r="M22" s="15"/>
      <c r="N22" s="15"/>
    </row>
    <row r="23" spans="1:21">
      <c r="A23" s="419" t="s">
        <v>18</v>
      </c>
      <c r="B23" s="420"/>
      <c r="C23" s="420"/>
      <c r="D23" s="420"/>
      <c r="E23" s="133"/>
      <c r="F23" s="40"/>
      <c r="G23" s="40"/>
      <c r="H23" s="26"/>
      <c r="I23" s="5" t="s">
        <v>62</v>
      </c>
      <c r="M23" s="15"/>
      <c r="N23" s="15"/>
    </row>
    <row r="24" spans="1:21" ht="12" customHeight="1">
      <c r="A24" s="478"/>
      <c r="B24" s="479"/>
      <c r="C24" s="479"/>
      <c r="D24" s="1"/>
      <c r="E24" s="1"/>
      <c r="F24" s="40"/>
      <c r="G24" s="134"/>
      <c r="H24" s="26"/>
      <c r="M24" s="15"/>
      <c r="N24" s="15"/>
    </row>
    <row r="25" spans="1:21" ht="12.75" customHeight="1">
      <c r="A25" s="19"/>
      <c r="B25" s="20"/>
      <c r="C25" s="311"/>
      <c r="D25" s="311"/>
      <c r="E25" s="311"/>
      <c r="F25" s="311"/>
      <c r="G25" s="11"/>
      <c r="H25" s="27"/>
      <c r="I25" s="5" t="s">
        <v>63</v>
      </c>
      <c r="M25" s="15"/>
      <c r="N25" s="15"/>
    </row>
    <row r="26" spans="1:21">
      <c r="A26" s="312" t="s">
        <v>21</v>
      </c>
      <c r="B26" s="313"/>
      <c r="C26" s="313"/>
      <c r="D26" s="313"/>
      <c r="E26" s="313"/>
      <c r="F26" s="313"/>
      <c r="G26" s="313"/>
      <c r="H26" s="313"/>
      <c r="I26" s="5" t="s">
        <v>64</v>
      </c>
      <c r="M26" s="15"/>
      <c r="N26" s="15"/>
    </row>
    <row r="27" spans="1:21" ht="15" customHeight="1">
      <c r="A27" s="315" t="s">
        <v>23</v>
      </c>
      <c r="B27" s="316"/>
      <c r="C27" s="316"/>
      <c r="D27" s="316"/>
      <c r="E27" s="316"/>
      <c r="F27" s="316"/>
      <c r="G27" s="316"/>
      <c r="H27" s="316"/>
      <c r="I27" s="5" t="s">
        <v>65</v>
      </c>
      <c r="M27" s="15"/>
      <c r="N27" s="15"/>
    </row>
    <row r="28" spans="1:21">
      <c r="A28" s="295" t="s">
        <v>25</v>
      </c>
      <c r="B28" s="296"/>
      <c r="C28" s="296"/>
      <c r="D28" s="296"/>
      <c r="E28" s="296"/>
      <c r="F28" s="296"/>
      <c r="G28" s="296"/>
      <c r="H28" s="451"/>
      <c r="I28" s="64"/>
      <c r="M28" s="15"/>
      <c r="N28" s="15"/>
    </row>
    <row r="29" spans="1:21" ht="15.75" thickBot="1">
      <c r="A29" s="297" t="str">
        <f>INVOICE!A27</f>
        <v>JAKARTA INDONESIA</v>
      </c>
      <c r="B29" s="298"/>
      <c r="C29" s="298"/>
      <c r="D29" s="298"/>
      <c r="E29" s="298"/>
      <c r="F29" s="298"/>
      <c r="G29" s="298"/>
      <c r="H29" s="299"/>
      <c r="I29" s="99"/>
      <c r="J29" s="6"/>
      <c r="K29" s="6"/>
      <c r="L29" s="6"/>
      <c r="M29" s="16"/>
      <c r="N29" s="15"/>
    </row>
    <row r="30" spans="1:21" ht="9.75" customHeight="1" thickBot="1">
      <c r="A30" s="101"/>
      <c r="B30" s="139"/>
      <c r="C30" s="139"/>
      <c r="D30" s="139"/>
      <c r="E30" s="139"/>
      <c r="F30" s="139"/>
      <c r="G30" s="138"/>
      <c r="N30" s="15"/>
    </row>
    <row r="31" spans="1:21" ht="14.1" customHeight="1">
      <c r="A31" s="300" t="str">
        <f>INVOICE!A29</f>
        <v>品番
( Part No)</v>
      </c>
      <c r="B31" s="301"/>
      <c r="C31" s="301"/>
      <c r="D31" s="304" t="str">
        <f>INVOICE!D29</f>
        <v>品名
(Part Name)</v>
      </c>
      <c r="E31" s="304" t="s">
        <v>30</v>
      </c>
      <c r="F31" s="308" t="s">
        <v>66</v>
      </c>
      <c r="G31" s="306" t="s">
        <v>32</v>
      </c>
      <c r="H31" s="421" t="s">
        <v>67</v>
      </c>
      <c r="I31" s="260"/>
      <c r="J31" s="304" t="s">
        <v>68</v>
      </c>
      <c r="K31" s="421" t="s">
        <v>69</v>
      </c>
      <c r="L31" s="446" t="s">
        <v>70</v>
      </c>
      <c r="M31" s="448" t="s">
        <v>71</v>
      </c>
      <c r="N31" s="15"/>
    </row>
    <row r="32" spans="1:21" ht="8.25" customHeight="1">
      <c r="A32" s="302"/>
      <c r="B32" s="303"/>
      <c r="C32" s="303"/>
      <c r="D32" s="449"/>
      <c r="E32" s="305"/>
      <c r="F32" s="309"/>
      <c r="G32" s="303"/>
      <c r="H32" s="261"/>
      <c r="I32" s="262"/>
      <c r="J32" s="449"/>
      <c r="K32" s="444"/>
      <c r="L32" s="447"/>
      <c r="M32" s="320"/>
      <c r="N32" s="103"/>
      <c r="O32" s="34"/>
      <c r="P32" s="34"/>
      <c r="Q32" s="34"/>
      <c r="R32" s="34"/>
      <c r="S32" s="34"/>
      <c r="T32" s="34"/>
      <c r="U32" s="34"/>
    </row>
    <row r="33" spans="1:21" ht="9.75" customHeight="1">
      <c r="A33" s="302"/>
      <c r="B33" s="303"/>
      <c r="C33" s="303"/>
      <c r="D33" s="449"/>
      <c r="E33" s="305"/>
      <c r="F33" s="309"/>
      <c r="G33" s="303"/>
      <c r="H33" s="261"/>
      <c r="I33" s="262"/>
      <c r="J33" s="449"/>
      <c r="K33" s="444"/>
      <c r="L33" s="447"/>
      <c r="M33" s="320"/>
      <c r="N33" s="103"/>
      <c r="O33" s="35"/>
      <c r="P33" s="35"/>
      <c r="Q33" s="35"/>
      <c r="R33" s="36"/>
      <c r="S33" s="37"/>
      <c r="T33" s="37"/>
      <c r="U33" s="37"/>
    </row>
    <row r="34" spans="1:21">
      <c r="A34" s="452"/>
      <c r="B34" s="307"/>
      <c r="C34" s="307"/>
      <c r="D34" s="450"/>
      <c r="E34" s="322"/>
      <c r="F34" s="310"/>
      <c r="G34" s="307"/>
      <c r="H34" s="261"/>
      <c r="I34" s="262"/>
      <c r="J34" s="450"/>
      <c r="K34" s="445"/>
      <c r="L34" s="447"/>
      <c r="M34" s="320"/>
      <c r="N34" s="103"/>
      <c r="O34" s="35"/>
      <c r="P34" s="35"/>
      <c r="Q34" s="35"/>
      <c r="R34" s="36"/>
      <c r="S34" s="37"/>
      <c r="T34" s="37"/>
      <c r="U34" s="37"/>
    </row>
    <row r="35" spans="1:21" ht="29.25" customHeight="1">
      <c r="A35" s="137">
        <v>1</v>
      </c>
      <c r="B35" s="303" t="str">
        <f>'IV tổng'!B33</f>
        <v>LDBA045101-3</v>
      </c>
      <c r="C35" s="303"/>
      <c r="D35" s="135" t="str">
        <f>'IV tổng'!D33</f>
        <v>DOOR CENTER SASH-S500H</v>
      </c>
      <c r="E35" s="147"/>
      <c r="F35" s="135" t="str">
        <f>'IV tổng'!F33</f>
        <v>pcs</v>
      </c>
      <c r="G35" s="123">
        <f>'IV tổng'!G33</f>
        <v>600</v>
      </c>
      <c r="H35" s="379">
        <f>VLOOKUP(B35,データ!B3:F39,5,FALSE)</f>
        <v>40</v>
      </c>
      <c r="I35" s="380"/>
      <c r="J35" s="158">
        <v>4</v>
      </c>
      <c r="K35" s="123"/>
      <c r="L35" s="126">
        <f>G35*O35/1000</f>
        <v>248.4</v>
      </c>
      <c r="M35" s="146">
        <f>L35+J35*0.77+20</f>
        <v>271.48</v>
      </c>
      <c r="N35" s="103"/>
      <c r="O35" s="128">
        <f>VLOOKUP(B35,データ!B1:L40,4,FALSE)</f>
        <v>414</v>
      </c>
      <c r="P35" s="128">
        <f>J35*0.9</f>
        <v>3.6</v>
      </c>
      <c r="Q35" s="128"/>
      <c r="R35" s="36"/>
      <c r="S35" s="34"/>
      <c r="T35" s="37"/>
      <c r="U35" s="37"/>
    </row>
    <row r="36" spans="1:21" ht="29.25" customHeight="1">
      <c r="A36" s="137">
        <f>A35+1</f>
        <v>2</v>
      </c>
      <c r="B36" s="303" t="str">
        <f>'IV tổng'!B34</f>
        <v>LDBA043800-2</v>
      </c>
      <c r="C36" s="303"/>
      <c r="D36" s="135" t="str">
        <f>'IV tổng'!D34</f>
        <v>RAIL TOP</v>
      </c>
      <c r="E36" s="147"/>
      <c r="F36" s="135" t="str">
        <f>'IV tổng'!F34</f>
        <v>pcs</v>
      </c>
      <c r="G36" s="123">
        <f>'IV tổng'!G34</f>
        <v>600</v>
      </c>
      <c r="H36" s="379">
        <f>VLOOKUP(B36,データ!B1:F40,5,FALSE)</f>
        <v>40</v>
      </c>
      <c r="I36" s="380"/>
      <c r="J36" s="158">
        <f t="shared" ref="J36:J42" si="0">G36/H36</f>
        <v>15</v>
      </c>
      <c r="K36" s="123"/>
      <c r="L36" s="126">
        <f t="shared" ref="L36:L43" si="1">G36*O36/1000</f>
        <v>247.2</v>
      </c>
      <c r="M36" s="146">
        <f>L36+J36*0.77+10</f>
        <v>268.75</v>
      </c>
      <c r="N36" s="103"/>
      <c r="O36" s="128">
        <f>VLOOKUP(B36,データ!B2:L41,4,FALSE)</f>
        <v>412</v>
      </c>
      <c r="P36" s="128">
        <f t="shared" ref="P36:P39" si="2">J36*0.9</f>
        <v>13.5</v>
      </c>
      <c r="Q36" s="128"/>
      <c r="R36" s="36"/>
      <c r="S36" s="34"/>
      <c r="T36" s="37"/>
      <c r="U36" s="37"/>
    </row>
    <row r="37" spans="1:21" ht="29.25" customHeight="1">
      <c r="A37" s="137">
        <f t="shared" ref="A37:A47" si="3">A36+1</f>
        <v>3</v>
      </c>
      <c r="B37" s="303" t="str">
        <f>'IV tổng'!B35</f>
        <v>LDBA043900-1</v>
      </c>
      <c r="C37" s="303"/>
      <c r="D37" s="135" t="str">
        <f>'IV tổng'!D35</f>
        <v>RAIL BOTTOM</v>
      </c>
      <c r="E37" s="147"/>
      <c r="F37" s="135" t="str">
        <f>'IV tổng'!F35</f>
        <v>pcs</v>
      </c>
      <c r="G37" s="123">
        <f>'IV tổng'!G35</f>
        <v>600</v>
      </c>
      <c r="H37" s="379">
        <f>VLOOKUP(B37,データ!B1:F41,5,FALSE)</f>
        <v>46</v>
      </c>
      <c r="I37" s="380"/>
      <c r="J37" s="158">
        <v>14</v>
      </c>
      <c r="K37" s="123"/>
      <c r="L37" s="126">
        <f t="shared" si="1"/>
        <v>247.2</v>
      </c>
      <c r="M37" s="146">
        <f>L37+J37*0.77+10</f>
        <v>267.98</v>
      </c>
      <c r="N37" s="103"/>
      <c r="O37" s="128">
        <f>VLOOKUP(B37,データ!B3:L42,4,FALSE)</f>
        <v>412</v>
      </c>
      <c r="P37" s="128">
        <f t="shared" si="2"/>
        <v>12.6</v>
      </c>
      <c r="Q37" s="128"/>
      <c r="R37" s="36"/>
      <c r="S37" s="34"/>
      <c r="T37" s="37"/>
      <c r="U37" s="37"/>
    </row>
    <row r="38" spans="1:21" ht="29.25" customHeight="1">
      <c r="A38" s="137">
        <f t="shared" si="3"/>
        <v>4</v>
      </c>
      <c r="B38" s="303" t="str">
        <f>'IV tổng'!B36</f>
        <v>LDBA044000-0</v>
      </c>
      <c r="C38" s="303"/>
      <c r="D38" s="135" t="str">
        <f>'IV tổng'!D36</f>
        <v>RAIL SIDE</v>
      </c>
      <c r="E38" s="147"/>
      <c r="F38" s="135" t="str">
        <f>'IV tổng'!F36</f>
        <v>pcs</v>
      </c>
      <c r="G38" s="123">
        <f>'IV tổng'!G36</f>
        <v>600</v>
      </c>
      <c r="H38" s="379">
        <f>VLOOKUP(B38,データ!B2:F42,5,FALSE)</f>
        <v>68</v>
      </c>
      <c r="I38" s="380"/>
      <c r="J38" s="158">
        <v>9</v>
      </c>
      <c r="K38" s="123"/>
      <c r="L38" s="126">
        <f t="shared" si="1"/>
        <v>216</v>
      </c>
      <c r="M38" s="146">
        <f>L38+J38*0.77</f>
        <v>222.93</v>
      </c>
      <c r="N38" s="103"/>
      <c r="O38" s="128">
        <f>VLOOKUP(B38,データ!B5:L43,4,FALSE)</f>
        <v>360</v>
      </c>
      <c r="P38" s="128">
        <f t="shared" si="2"/>
        <v>8.1</v>
      </c>
      <c r="Q38" s="128"/>
      <c r="R38" s="36"/>
      <c r="S38" s="34"/>
      <c r="T38" s="37"/>
      <c r="U38" s="37"/>
    </row>
    <row r="39" spans="1:21" ht="29.25" customHeight="1">
      <c r="A39" s="137">
        <f t="shared" si="3"/>
        <v>5</v>
      </c>
      <c r="B39" s="303" t="str">
        <f>'IV tổng'!B37</f>
        <v>LDBA044100-0</v>
      </c>
      <c r="C39" s="303"/>
      <c r="D39" s="135" t="str">
        <f>'IV tổng'!D37</f>
        <v>RAIL SIDE</v>
      </c>
      <c r="E39" s="147"/>
      <c r="F39" s="135" t="str">
        <f>'IV tổng'!F37</f>
        <v>pcs</v>
      </c>
      <c r="G39" s="123">
        <f>'IV tổng'!G37</f>
        <v>1200</v>
      </c>
      <c r="H39" s="379">
        <f>VLOOKUP(B39,データ!B3:F43,5,FALSE)</f>
        <v>34</v>
      </c>
      <c r="I39" s="380"/>
      <c r="J39" s="158">
        <v>36</v>
      </c>
      <c r="K39" s="123"/>
      <c r="L39" s="126">
        <f t="shared" si="1"/>
        <v>847.2</v>
      </c>
      <c r="M39" s="146">
        <f t="shared" ref="M39:M42" si="4">L39+J39*0.77</f>
        <v>874.92000000000007</v>
      </c>
      <c r="N39" s="103"/>
      <c r="O39" s="128">
        <f>VLOOKUP(B39,データ!B6:L44,4,FALSE)</f>
        <v>706</v>
      </c>
      <c r="P39" s="128">
        <f t="shared" si="2"/>
        <v>32.4</v>
      </c>
      <c r="Q39" s="128"/>
      <c r="R39" s="36"/>
      <c r="S39" s="34"/>
      <c r="T39" s="37"/>
      <c r="U39" s="37"/>
    </row>
    <row r="40" spans="1:21" ht="29.25" customHeight="1">
      <c r="A40" s="137">
        <f t="shared" si="3"/>
        <v>6</v>
      </c>
      <c r="B40" s="303" t="str">
        <f>'IV tổng'!B38</f>
        <v>LDBA044400-3</v>
      </c>
      <c r="C40" s="303"/>
      <c r="D40" s="135" t="str">
        <f>'IV tổng'!D38</f>
        <v>DOOR LOWER SASH R</v>
      </c>
      <c r="E40" s="147"/>
      <c r="F40" s="135" t="str">
        <f>'IV tổng'!F38</f>
        <v>pcs</v>
      </c>
      <c r="G40" s="123">
        <f>'IV tổng'!G38</f>
        <v>600</v>
      </c>
      <c r="H40" s="379">
        <f>VLOOKUP(B40,データ!B6:F45,5,FALSE)</f>
        <v>26</v>
      </c>
      <c r="I40" s="380"/>
      <c r="J40" s="158">
        <v>24</v>
      </c>
      <c r="K40" s="123"/>
      <c r="L40" s="126">
        <f>G40*O40/1000</f>
        <v>127.2</v>
      </c>
      <c r="M40" s="146">
        <f t="shared" si="4"/>
        <v>145.68</v>
      </c>
      <c r="N40" s="103"/>
      <c r="O40" s="128">
        <f>VLOOKUP(B40,データ!B1:L46,4,FALSE)</f>
        <v>212</v>
      </c>
      <c r="P40" s="128">
        <f t="shared" ref="P40:P43" si="5">J40*0.9</f>
        <v>21.6</v>
      </c>
      <c r="Q40" s="128"/>
      <c r="R40" s="36"/>
      <c r="S40" s="34"/>
      <c r="T40" s="37"/>
      <c r="U40" s="37"/>
    </row>
    <row r="41" spans="1:21" ht="29.25" customHeight="1">
      <c r="A41" s="137">
        <f t="shared" si="3"/>
        <v>7</v>
      </c>
      <c r="B41" s="303" t="str">
        <f>'IV tổng'!B39</f>
        <v>LDBA044500-3</v>
      </c>
      <c r="C41" s="303"/>
      <c r="D41" s="135" t="str">
        <f>'IV tổng'!D39</f>
        <v>DOOR LOWER SASH L</v>
      </c>
      <c r="E41" s="147"/>
      <c r="F41" s="135" t="str">
        <f>'IV tổng'!F39</f>
        <v>pcs</v>
      </c>
      <c r="G41" s="123">
        <f>'IV tổng'!G39</f>
        <v>600</v>
      </c>
      <c r="H41" s="379">
        <f>VLOOKUP(B41,データ!B7:F46,5,FALSE)</f>
        <v>26</v>
      </c>
      <c r="I41" s="380"/>
      <c r="J41" s="158">
        <v>24</v>
      </c>
      <c r="K41" s="123"/>
      <c r="L41" s="126">
        <f t="shared" si="1"/>
        <v>127.2</v>
      </c>
      <c r="M41" s="146">
        <f>L41+J41*0.77+20</f>
        <v>165.68</v>
      </c>
      <c r="N41" s="103"/>
      <c r="O41" s="128">
        <f>VLOOKUP(B41,データ!B9:L47,4,FALSE)</f>
        <v>212</v>
      </c>
      <c r="P41" s="128">
        <f t="shared" si="5"/>
        <v>21.6</v>
      </c>
      <c r="Q41" s="128"/>
      <c r="R41" s="36"/>
      <c r="S41" s="34"/>
      <c r="T41" s="37"/>
      <c r="U41" s="37"/>
    </row>
    <row r="42" spans="1:21" ht="29.25" customHeight="1">
      <c r="A42" s="137">
        <f t="shared" si="3"/>
        <v>8</v>
      </c>
      <c r="B42" s="303" t="str">
        <f>'IV tổng'!B40</f>
        <v>LDBA045100-8</v>
      </c>
      <c r="C42" s="303"/>
      <c r="D42" s="135" t="e">
        <f>'IV tổng'!D40</f>
        <v>#N/A</v>
      </c>
      <c r="E42" s="147"/>
      <c r="F42" s="135" t="e">
        <f>'IV tổng'!F40</f>
        <v>#N/A</v>
      </c>
      <c r="G42" s="123">
        <f>'IV tổng'!G40</f>
        <v>320</v>
      </c>
      <c r="H42" s="379" t="e">
        <f>VLOOKUP(B42,データ!B8:F47,5,FALSE)</f>
        <v>#N/A</v>
      </c>
      <c r="I42" s="380"/>
      <c r="J42" s="158" t="e">
        <f t="shared" si="0"/>
        <v>#N/A</v>
      </c>
      <c r="K42" s="150"/>
      <c r="L42" s="126" t="e">
        <f t="shared" si="1"/>
        <v>#N/A</v>
      </c>
      <c r="M42" s="146" t="e">
        <f t="shared" si="4"/>
        <v>#N/A</v>
      </c>
      <c r="N42" s="103"/>
      <c r="O42" s="128" t="e">
        <f>VLOOKUP(B42,データ!B10:L48,4,FALSE)</f>
        <v>#N/A</v>
      </c>
      <c r="P42" s="128" t="e">
        <f t="shared" si="5"/>
        <v>#N/A</v>
      </c>
      <c r="Q42" s="128"/>
      <c r="R42" s="36"/>
      <c r="S42" s="34"/>
      <c r="T42" s="37"/>
      <c r="U42" s="37"/>
    </row>
    <row r="43" spans="1:21" ht="29.25" customHeight="1">
      <c r="A43" s="137">
        <f t="shared" si="3"/>
        <v>9</v>
      </c>
      <c r="B43" s="303" t="str">
        <f>'IV tổng'!B41</f>
        <v>LDBA053500-0</v>
      </c>
      <c r="C43" s="303"/>
      <c r="D43" s="135" t="str">
        <f>'IV tổng'!D41</f>
        <v xml:space="preserve"> LIGHT COVER-S500H</v>
      </c>
      <c r="E43" s="147"/>
      <c r="F43" s="135" t="str">
        <f>'IV tổng'!F41</f>
        <v>pcs</v>
      </c>
      <c r="G43" s="123">
        <f>'IV tổng'!G41</f>
        <v>300</v>
      </c>
      <c r="H43" s="379">
        <f>VLOOKUP(B43,データ!B9:F48,5,FALSE)</f>
        <v>170</v>
      </c>
      <c r="I43" s="380"/>
      <c r="J43" s="158">
        <v>2</v>
      </c>
      <c r="K43" s="150"/>
      <c r="L43" s="126">
        <f t="shared" si="1"/>
        <v>27</v>
      </c>
      <c r="M43" s="146">
        <f t="shared" ref="M43" si="6">L43+J43*0.77+20</f>
        <v>48.54</v>
      </c>
      <c r="N43" s="103"/>
      <c r="O43" s="128">
        <f>VLOOKUP(B43,データ!B11:L49,4,FALSE)</f>
        <v>90</v>
      </c>
      <c r="P43" s="128">
        <f t="shared" si="5"/>
        <v>1.8</v>
      </c>
      <c r="Q43" s="128"/>
      <c r="R43" s="36"/>
      <c r="S43" s="34"/>
      <c r="T43" s="37"/>
      <c r="U43" s="37"/>
    </row>
    <row r="44" spans="1:21" ht="29.25" customHeight="1">
      <c r="A44" s="137">
        <f t="shared" si="3"/>
        <v>10</v>
      </c>
      <c r="B44" s="303" t="str">
        <f>'IV tổng'!B42</f>
        <v>LDBA053603-0</v>
      </c>
      <c r="C44" s="303"/>
      <c r="D44" s="135" t="str">
        <f>'IV tổng'!D42</f>
        <v>DOOR UPPER SASH L-S150H</v>
      </c>
      <c r="E44" s="147"/>
      <c r="F44" s="135" t="str">
        <f>'IV tổng'!F42</f>
        <v>pcs</v>
      </c>
      <c r="G44" s="123">
        <f>'IV tổng'!G42</f>
        <v>600</v>
      </c>
      <c r="H44" s="379">
        <f>VLOOKUP(B44,データ!B10:F49,5,FALSE)</f>
        <v>80</v>
      </c>
      <c r="I44" s="380"/>
      <c r="J44" s="158">
        <v>8</v>
      </c>
      <c r="K44" s="160"/>
      <c r="L44" s="126">
        <f t="shared" ref="L44:L47" si="7">G44*O44/1000</f>
        <v>139.80000000000001</v>
      </c>
      <c r="M44" s="146">
        <f t="shared" ref="M44:M47" si="8">L44+J44*0.77+20</f>
        <v>165.96</v>
      </c>
      <c r="N44" s="103"/>
      <c r="O44" s="128">
        <f>VLOOKUP(B44,データ!B11:L50,4,FALSE)</f>
        <v>233</v>
      </c>
      <c r="P44" s="128">
        <f t="shared" ref="P44:P47" si="9">J44*0.9</f>
        <v>7.2</v>
      </c>
      <c r="Q44" s="128"/>
      <c r="R44" s="36"/>
      <c r="S44" s="34"/>
      <c r="T44" s="37"/>
      <c r="U44" s="37"/>
    </row>
    <row r="45" spans="1:21" ht="29.25" customHeight="1">
      <c r="A45" s="137">
        <f t="shared" si="3"/>
        <v>11</v>
      </c>
      <c r="B45" s="303" t="str">
        <f>'IV tổng'!B43</f>
        <v>LDBA053900-1</v>
      </c>
      <c r="C45" s="303"/>
      <c r="D45" s="135" t="str">
        <f>'IV tổng'!D43</f>
        <v>RAIL TOP-S500H</v>
      </c>
      <c r="E45" s="147"/>
      <c r="F45" s="135" t="str">
        <f>'IV tổng'!F43</f>
        <v>pcs</v>
      </c>
      <c r="G45" s="123">
        <f>'IV tổng'!G43</f>
        <v>300</v>
      </c>
      <c r="H45" s="379">
        <f>VLOOKUP(B45,データ!B11:F51,5,FALSE)</f>
        <v>40</v>
      </c>
      <c r="I45" s="380"/>
      <c r="J45" s="158">
        <v>8</v>
      </c>
      <c r="K45" s="150"/>
      <c r="L45" s="126">
        <f t="shared" si="7"/>
        <v>104.4</v>
      </c>
      <c r="M45" s="146">
        <f t="shared" si="8"/>
        <v>130.56</v>
      </c>
      <c r="N45" s="103"/>
      <c r="O45" s="128">
        <f>VLOOKUP(B45,データ!B12:L52,4,FALSE)</f>
        <v>348</v>
      </c>
      <c r="P45" s="128">
        <f t="shared" si="9"/>
        <v>7.2</v>
      </c>
      <c r="Q45" s="128"/>
      <c r="R45" s="36"/>
      <c r="S45" s="34"/>
      <c r="T45" s="37"/>
      <c r="U45" s="37"/>
    </row>
    <row r="46" spans="1:21" ht="29.25" customHeight="1">
      <c r="A46" s="137">
        <f t="shared" si="3"/>
        <v>12</v>
      </c>
      <c r="B46" s="303" t="str">
        <f>'IV tổng'!B44</f>
        <v>LDBA054000-2</v>
      </c>
      <c r="C46" s="303"/>
      <c r="D46" s="135" t="str">
        <f>'IV tổng'!D44</f>
        <v xml:space="preserve"> RAIL BOTTOM-S500H</v>
      </c>
      <c r="E46" s="147"/>
      <c r="F46" s="135" t="str">
        <f>'IV tổng'!F44</f>
        <v>pcs</v>
      </c>
      <c r="G46" s="123">
        <f>'IV tổng'!G44</f>
        <v>300</v>
      </c>
      <c r="H46" s="379">
        <f>VLOOKUP(B46,データ!B1:F52,5,FALSE)</f>
        <v>46</v>
      </c>
      <c r="I46" s="380"/>
      <c r="J46" s="158">
        <v>7</v>
      </c>
      <c r="K46" s="161"/>
      <c r="L46" s="126">
        <f>G46*O46/1000</f>
        <v>163.5</v>
      </c>
      <c r="M46" s="146">
        <f t="shared" si="8"/>
        <v>188.89</v>
      </c>
      <c r="N46" s="103"/>
      <c r="O46" s="128">
        <f>VLOOKUP(B46,データ!B1:L53,4,FALSE)</f>
        <v>545</v>
      </c>
      <c r="P46" s="128">
        <f t="shared" si="9"/>
        <v>6.3</v>
      </c>
      <c r="Q46" s="128"/>
      <c r="R46" s="36"/>
      <c r="S46" s="34"/>
      <c r="T46" s="37"/>
      <c r="U46" s="37"/>
    </row>
    <row r="47" spans="1:21" ht="29.25" customHeight="1">
      <c r="A47" s="137">
        <f t="shared" si="3"/>
        <v>13</v>
      </c>
      <c r="B47" s="303" t="str">
        <f>'IV tổng'!B45</f>
        <v>LDBA064303-0</v>
      </c>
      <c r="C47" s="303"/>
      <c r="D47" s="135" t="str">
        <f>'IV tổng'!D45</f>
        <v>DOOR UPPER SASH R-S150H</v>
      </c>
      <c r="E47" s="147"/>
      <c r="F47" s="135" t="str">
        <f>'IV tổng'!F45</f>
        <v>pcs</v>
      </c>
      <c r="G47" s="123">
        <f>'IV tổng'!G45</f>
        <v>600</v>
      </c>
      <c r="H47" s="379">
        <f>VLOOKUP(B47,データ!B2:F53,5,FALSE)</f>
        <v>80</v>
      </c>
      <c r="I47" s="380"/>
      <c r="J47" s="158">
        <v>8</v>
      </c>
      <c r="K47" s="161"/>
      <c r="L47" s="126">
        <f t="shared" si="7"/>
        <v>139.80000000000001</v>
      </c>
      <c r="M47" s="146">
        <f t="shared" si="8"/>
        <v>165.96</v>
      </c>
      <c r="N47" s="103"/>
      <c r="O47" s="128">
        <f>VLOOKUP(B47,データ!B2:L54,4,FALSE)</f>
        <v>233</v>
      </c>
      <c r="P47" s="128">
        <f t="shared" si="9"/>
        <v>7.2</v>
      </c>
      <c r="Q47" s="128"/>
      <c r="R47" s="36"/>
      <c r="S47" s="34"/>
      <c r="T47" s="37"/>
      <c r="U47" s="37"/>
    </row>
    <row r="48" spans="1:21" ht="12" customHeight="1">
      <c r="A48" s="428" t="s">
        <v>54</v>
      </c>
      <c r="B48" s="429"/>
      <c r="C48" s="429"/>
      <c r="D48" s="429"/>
      <c r="E48" s="429"/>
      <c r="F48" s="430"/>
      <c r="G48" s="431">
        <f>SUM(G35:G47)</f>
        <v>7220</v>
      </c>
      <c r="H48" s="433"/>
      <c r="I48" s="430"/>
      <c r="J48" s="435" t="e">
        <f>SUM(J35:J47)</f>
        <v>#N/A</v>
      </c>
      <c r="K48" s="426">
        <f>SUM(K35:K47)</f>
        <v>0</v>
      </c>
      <c r="L48" s="440" t="e">
        <f>SUM(L35:L47)</f>
        <v>#N/A</v>
      </c>
      <c r="M48" s="442" t="e">
        <f>SUM(M35:M47)</f>
        <v>#N/A</v>
      </c>
      <c r="N48" s="437">
        <f>SUM(N35:N47)</f>
        <v>0</v>
      </c>
      <c r="O48" s="437"/>
      <c r="P48" s="437"/>
    </row>
    <row r="49" spans="1:16" ht="13.5" customHeight="1" thickBot="1">
      <c r="A49" s="248"/>
      <c r="B49" s="249"/>
      <c r="C49" s="249"/>
      <c r="D49" s="249"/>
      <c r="E49" s="249"/>
      <c r="F49" s="250"/>
      <c r="G49" s="432"/>
      <c r="H49" s="434"/>
      <c r="I49" s="250"/>
      <c r="J49" s="436"/>
      <c r="K49" s="427"/>
      <c r="L49" s="441"/>
      <c r="M49" s="443"/>
      <c r="N49" s="438"/>
      <c r="O49" s="438"/>
      <c r="P49" s="438"/>
    </row>
    <row r="50" spans="1:16" ht="20.100000000000001" customHeight="1">
      <c r="A50" s="4" t="str">
        <f>INVOICE!A54</f>
        <v>原産国 (Country of Origin) : VIETNAM</v>
      </c>
      <c r="B50" s="1"/>
    </row>
    <row r="51" spans="1:16" ht="18" customHeight="1">
      <c r="A51" s="439" t="s">
        <v>155</v>
      </c>
      <c r="B51" s="244"/>
      <c r="C51" s="244"/>
      <c r="D51" s="102">
        <f>G48</f>
        <v>7220</v>
      </c>
      <c r="E51" s="102"/>
      <c r="F51" s="81"/>
      <c r="G51" s="30"/>
      <c r="H51" s="244"/>
      <c r="I51" s="244"/>
      <c r="J51" s="244"/>
      <c r="M51" s="157"/>
    </row>
    <row r="52" spans="1:16" ht="20.100000000000001" customHeight="1">
      <c r="A52" s="5" t="s">
        <v>72</v>
      </c>
      <c r="D52" s="77" t="e">
        <f>M48</f>
        <v>#N/A</v>
      </c>
      <c r="E52" s="77"/>
      <c r="F52" s="82"/>
      <c r="G52" s="29"/>
      <c r="H52" s="17"/>
      <c r="I52" s="244" t="s">
        <v>56</v>
      </c>
      <c r="J52" s="244"/>
      <c r="K52" s="244"/>
      <c r="L52" s="138"/>
      <c r="N52" s="135"/>
    </row>
    <row r="53" spans="1:16" ht="25.5" customHeight="1">
      <c r="A53" s="155" t="s">
        <v>168</v>
      </c>
      <c r="D53" s="145"/>
      <c r="E53" s="83">
        <f>1.1*1.1*1.33+1.1*1.5*1.14*4</f>
        <v>9.1333000000000002</v>
      </c>
      <c r="F53" s="83"/>
      <c r="G53" s="83"/>
    </row>
    <row r="54" spans="1:16" ht="20.100000000000001" customHeight="1">
      <c r="A54" s="130" t="s">
        <v>74</v>
      </c>
    </row>
    <row r="55" spans="1:16" ht="15" customHeight="1">
      <c r="A55" s="425"/>
      <c r="B55" s="425"/>
      <c r="C55" s="425"/>
      <c r="D55" s="142"/>
      <c r="E55" s="142"/>
    </row>
    <row r="56" spans="1:16" ht="13.5" customHeight="1"/>
    <row r="57" spans="1:16" hidden="1"/>
    <row r="58" spans="1:16" hidden="1"/>
    <row r="59" spans="1:16">
      <c r="F59" s="67"/>
      <c r="G59" s="67"/>
      <c r="H59" s="67"/>
      <c r="I59" s="67"/>
      <c r="J59" s="67"/>
      <c r="K59" s="67"/>
      <c r="L59" s="67"/>
      <c r="M59" s="67"/>
    </row>
    <row r="60" spans="1:16">
      <c r="F60" s="67"/>
      <c r="G60" s="68"/>
      <c r="H60" s="69"/>
      <c r="I60" s="70"/>
      <c r="J60" s="71"/>
      <c r="K60" s="71"/>
      <c r="L60" s="71"/>
      <c r="M60" s="71"/>
    </row>
    <row r="61" spans="1:16">
      <c r="F61" s="67"/>
      <c r="G61" s="68"/>
      <c r="H61" s="69"/>
      <c r="I61" s="70"/>
      <c r="J61" s="71"/>
      <c r="K61" s="71"/>
      <c r="L61" s="71"/>
      <c r="M61" s="71"/>
      <c r="N61" s="65"/>
    </row>
    <row r="62" spans="1:16">
      <c r="F62" s="67"/>
      <c r="G62" s="68"/>
      <c r="H62" s="69"/>
      <c r="I62" s="70"/>
      <c r="J62" s="67"/>
      <c r="K62" s="71"/>
      <c r="L62" s="71"/>
      <c r="M62" s="71"/>
    </row>
    <row r="63" spans="1:16">
      <c r="F63" s="67"/>
      <c r="G63" s="68"/>
      <c r="H63" s="69"/>
      <c r="I63" s="70"/>
      <c r="J63" s="67"/>
      <c r="K63" s="71"/>
      <c r="L63" s="71"/>
      <c r="M63" s="71"/>
    </row>
    <row r="64" spans="1:16">
      <c r="F64" s="67"/>
      <c r="G64" s="68"/>
      <c r="H64" s="69"/>
      <c r="I64" s="70"/>
      <c r="J64" s="67"/>
      <c r="K64" s="71"/>
      <c r="L64" s="71"/>
      <c r="M64" s="71"/>
    </row>
    <row r="65" spans="6:14">
      <c r="F65" s="67"/>
      <c r="G65" s="68"/>
      <c r="H65" s="69"/>
      <c r="I65" s="70"/>
      <c r="J65" s="67"/>
      <c r="K65" s="71"/>
      <c r="L65" s="71"/>
      <c r="M65" s="71"/>
    </row>
    <row r="66" spans="6:14">
      <c r="F66" s="67"/>
      <c r="G66" s="68"/>
      <c r="H66" s="69"/>
      <c r="I66" s="70"/>
      <c r="J66" s="38"/>
      <c r="K66" s="71"/>
      <c r="L66" s="71"/>
      <c r="M66" s="71"/>
    </row>
    <row r="67" spans="6:14">
      <c r="F67" s="67"/>
      <c r="G67" s="68"/>
      <c r="H67" s="69"/>
      <c r="I67" s="70"/>
      <c r="J67" s="38"/>
      <c r="K67" s="71"/>
      <c r="L67" s="71"/>
      <c r="M67" s="71"/>
    </row>
    <row r="68" spans="6:14">
      <c r="F68" s="67"/>
      <c r="G68" s="68"/>
      <c r="H68" s="69"/>
      <c r="I68" s="70"/>
      <c r="J68" s="38"/>
      <c r="K68" s="71"/>
      <c r="L68" s="71"/>
      <c r="M68" s="71"/>
    </row>
    <row r="69" spans="6:14">
      <c r="F69" s="67"/>
      <c r="G69" s="68"/>
      <c r="H69" s="69"/>
      <c r="I69" s="70"/>
      <c r="J69" s="38"/>
      <c r="K69" s="71"/>
      <c r="L69" s="71"/>
      <c r="M69" s="71"/>
    </row>
    <row r="70" spans="6:14">
      <c r="F70" s="138"/>
      <c r="G70" s="72"/>
      <c r="H70" s="138"/>
      <c r="I70" s="73"/>
      <c r="K70" s="138"/>
      <c r="L70" s="138"/>
      <c r="M70" s="71"/>
    </row>
    <row r="71" spans="6:14">
      <c r="F71" s="138"/>
      <c r="G71" s="72"/>
      <c r="H71" s="138"/>
      <c r="I71" s="74"/>
      <c r="K71" s="138"/>
      <c r="L71" s="138"/>
      <c r="M71" s="71"/>
    </row>
    <row r="72" spans="6:14">
      <c r="F72" s="138"/>
      <c r="G72" s="75"/>
      <c r="H72" s="138"/>
      <c r="I72" s="76"/>
      <c r="K72" s="77"/>
      <c r="L72" s="77"/>
      <c r="M72" s="71"/>
      <c r="N72" s="78"/>
    </row>
    <row r="73" spans="6:14">
      <c r="F73" s="138"/>
      <c r="G73" s="75"/>
      <c r="H73" s="138"/>
      <c r="I73" s="76"/>
      <c r="K73" s="77"/>
      <c r="L73" s="77"/>
      <c r="M73" s="71"/>
      <c r="N73" s="78"/>
    </row>
    <row r="74" spans="6:14">
      <c r="F74" s="138"/>
      <c r="G74" s="75"/>
      <c r="H74" s="138"/>
      <c r="I74" s="76"/>
      <c r="K74" s="77"/>
      <c r="L74" s="77"/>
      <c r="M74" s="71"/>
      <c r="N74" s="78"/>
    </row>
    <row r="75" spans="6:14">
      <c r="F75" s="138"/>
      <c r="G75" s="75"/>
      <c r="H75" s="138"/>
      <c r="I75" s="76"/>
      <c r="K75" s="77"/>
      <c r="L75" s="77"/>
      <c r="M75" s="71"/>
      <c r="N75" s="78"/>
    </row>
    <row r="76" spans="6:14">
      <c r="F76" s="138"/>
      <c r="G76" s="75"/>
      <c r="H76" s="138"/>
      <c r="I76" s="76"/>
      <c r="K76" s="77"/>
      <c r="L76" s="77"/>
      <c r="M76" s="71"/>
      <c r="N76" s="78"/>
    </row>
    <row r="77" spans="6:14">
      <c r="F77" s="138"/>
      <c r="G77" s="75"/>
      <c r="H77" s="138"/>
      <c r="I77" s="76"/>
      <c r="K77" s="77"/>
      <c r="L77" s="77"/>
      <c r="M77" s="71"/>
      <c r="N77" s="78"/>
    </row>
    <row r="78" spans="6:14">
      <c r="F78" s="138"/>
      <c r="G78" s="79"/>
      <c r="H78" s="138"/>
      <c r="I78" s="74"/>
      <c r="J78" s="138"/>
      <c r="K78" s="77"/>
      <c r="L78" s="77"/>
      <c r="M78" s="71"/>
    </row>
    <row r="79" spans="6:14">
      <c r="F79" s="138"/>
      <c r="G79" s="79"/>
      <c r="H79" s="80"/>
      <c r="I79" s="74"/>
      <c r="J79" s="138"/>
      <c r="K79" s="77"/>
      <c r="L79" s="77"/>
      <c r="M79" s="71"/>
    </row>
    <row r="80" spans="6:14">
      <c r="F80" s="138"/>
      <c r="G80" s="79"/>
      <c r="H80" s="138"/>
      <c r="I80" s="74"/>
      <c r="J80" s="138"/>
      <c r="K80" s="77"/>
      <c r="L80" s="77"/>
      <c r="M80" s="71"/>
    </row>
    <row r="81" spans="6:13">
      <c r="F81" s="138"/>
      <c r="G81" s="138"/>
      <c r="H81" s="138"/>
      <c r="I81" s="138"/>
      <c r="J81" s="138"/>
      <c r="K81" s="138"/>
      <c r="L81" s="138"/>
      <c r="M81" s="138"/>
    </row>
  </sheetData>
  <mergeCells count="66">
    <mergeCell ref="A26:H26"/>
    <mergeCell ref="A1:M4"/>
    <mergeCell ref="I5:M5"/>
    <mergeCell ref="I8:M10"/>
    <mergeCell ref="I11:K12"/>
    <mergeCell ref="L11:M12"/>
    <mergeCell ref="I13:K13"/>
    <mergeCell ref="L13:M13"/>
    <mergeCell ref="I14:M14"/>
    <mergeCell ref="I15:M17"/>
    <mergeCell ref="A23:D23"/>
    <mergeCell ref="A24:C24"/>
    <mergeCell ref="C25:F25"/>
    <mergeCell ref="A27:H27"/>
    <mergeCell ref="A28:H28"/>
    <mergeCell ref="A29:H29"/>
    <mergeCell ref="A31:C34"/>
    <mergeCell ref="D31:D34"/>
    <mergeCell ref="E31:E34"/>
    <mergeCell ref="F31:F34"/>
    <mergeCell ref="G31:G34"/>
    <mergeCell ref="H31:I34"/>
    <mergeCell ref="K31:K34"/>
    <mergeCell ref="L31:L34"/>
    <mergeCell ref="M31:M34"/>
    <mergeCell ref="B35:C35"/>
    <mergeCell ref="H35:I35"/>
    <mergeCell ref="J31:J34"/>
    <mergeCell ref="B36:C36"/>
    <mergeCell ref="H36:I36"/>
    <mergeCell ref="B37:C37"/>
    <mergeCell ref="H37:I37"/>
    <mergeCell ref="B38:C38"/>
    <mergeCell ref="H38:I38"/>
    <mergeCell ref="H39:I39"/>
    <mergeCell ref="H40:I40"/>
    <mergeCell ref="H42:I42"/>
    <mergeCell ref="H41:I41"/>
    <mergeCell ref="B41:C41"/>
    <mergeCell ref="B39:C39"/>
    <mergeCell ref="B40:C40"/>
    <mergeCell ref="B42:C42"/>
    <mergeCell ref="B43:C43"/>
    <mergeCell ref="H43:I43"/>
    <mergeCell ref="B44:C44"/>
    <mergeCell ref="H44:I44"/>
    <mergeCell ref="M48:M49"/>
    <mergeCell ref="B45:C45"/>
    <mergeCell ref="B46:C46"/>
    <mergeCell ref="B47:C47"/>
    <mergeCell ref="H45:I45"/>
    <mergeCell ref="H46:I46"/>
    <mergeCell ref="H47:I47"/>
    <mergeCell ref="N48:N49"/>
    <mergeCell ref="O48:O49"/>
    <mergeCell ref="P48:P49"/>
    <mergeCell ref="A51:C51"/>
    <mergeCell ref="H51:J51"/>
    <mergeCell ref="L48:L49"/>
    <mergeCell ref="I52:K52"/>
    <mergeCell ref="A55:C55"/>
    <mergeCell ref="K48:K49"/>
    <mergeCell ref="A48:F49"/>
    <mergeCell ref="G48:G49"/>
    <mergeCell ref="H48:I49"/>
    <mergeCell ref="J48:J49"/>
  </mergeCells>
  <phoneticPr fontId="1"/>
  <pageMargins left="0.17" right="0.16" top="0.16" bottom="0.16" header="0.3" footer="0.3"/>
  <pageSetup paperSize="9" scale="7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9"/>
  <sheetViews>
    <sheetView topLeftCell="A43" workbookViewId="0">
      <selection activeCell="G37" sqref="G37"/>
    </sheetView>
  </sheetViews>
  <sheetFormatPr defaultColWidth="9" defaultRowHeight="15"/>
  <cols>
    <col min="1" max="1" width="3.125" style="5" customWidth="1"/>
    <col min="2" max="2" width="9" style="5"/>
    <col min="3" max="3" width="9.125" style="5" customWidth="1"/>
    <col min="4" max="4" width="31.875" style="5" customWidth="1"/>
    <col min="5" max="5" width="17.375" style="5" customWidth="1"/>
    <col min="6" max="6" width="6.375" style="5" customWidth="1"/>
    <col min="7" max="7" width="9.125" style="5" customWidth="1"/>
    <col min="8" max="8" width="9" style="5"/>
    <col min="9" max="9" width="4" style="5" customWidth="1"/>
    <col min="10" max="10" width="9.875" style="5" customWidth="1"/>
    <col min="11" max="11" width="9.625" style="5" customWidth="1"/>
    <col min="12" max="12" width="4.125" style="5" customWidth="1"/>
    <col min="13" max="16384" width="9" style="5"/>
  </cols>
  <sheetData>
    <row r="1" spans="1:12" ht="13.5" customHeight="1">
      <c r="A1" s="255" t="s">
        <v>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</row>
    <row r="2" spans="1:12" ht="13.5" customHeight="1">
      <c r="A2" s="255"/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</row>
    <row r="3" spans="1:12" ht="13.5" customHeight="1">
      <c r="A3" s="255"/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</row>
    <row r="4" spans="1:12">
      <c r="A4" s="255"/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</row>
    <row r="5" spans="1:12">
      <c r="H5" s="85" t="s">
        <v>75</v>
      </c>
    </row>
    <row r="7" spans="1:12" ht="15.75" thickBot="1"/>
    <row r="8" spans="1:12">
      <c r="A8" s="7" t="s">
        <v>1</v>
      </c>
      <c r="B8" s="8"/>
      <c r="C8" s="8"/>
      <c r="D8" s="8"/>
      <c r="E8" s="8"/>
      <c r="F8" s="8"/>
      <c r="G8" s="58"/>
      <c r="H8" s="265" t="s">
        <v>76</v>
      </c>
      <c r="I8" s="266"/>
      <c r="J8" s="266"/>
      <c r="K8" s="267"/>
    </row>
    <row r="9" spans="1:12" ht="13.5" customHeight="1">
      <c r="A9" s="9"/>
      <c r="G9" s="59"/>
      <c r="H9" s="268"/>
      <c r="I9" s="269"/>
      <c r="J9" s="269"/>
      <c r="K9" s="270"/>
    </row>
    <row r="10" spans="1:12" ht="13.5" customHeight="1">
      <c r="A10" s="47" t="s">
        <v>2</v>
      </c>
      <c r="B10" s="2"/>
      <c r="C10" s="2"/>
      <c r="D10" s="2"/>
      <c r="E10" s="2"/>
      <c r="F10" s="2"/>
      <c r="G10" s="60"/>
      <c r="H10" s="268"/>
      <c r="I10" s="269"/>
      <c r="J10" s="269"/>
      <c r="K10" s="270"/>
    </row>
    <row r="11" spans="1:12" ht="13.5" customHeight="1">
      <c r="A11" s="45" t="s">
        <v>3</v>
      </c>
      <c r="B11" s="1"/>
      <c r="C11" s="1"/>
      <c r="D11" s="1"/>
      <c r="E11" s="1"/>
      <c r="F11" s="1"/>
      <c r="G11" s="46"/>
      <c r="H11" s="271" t="s">
        <v>4</v>
      </c>
      <c r="I11" s="272"/>
      <c r="J11" s="275" t="s">
        <v>5</v>
      </c>
      <c r="K11" s="276"/>
    </row>
    <row r="12" spans="1:12">
      <c r="A12" s="45" t="s">
        <v>6</v>
      </c>
      <c r="B12" s="1"/>
      <c r="C12" s="1"/>
      <c r="D12" s="1"/>
      <c r="E12" s="1"/>
      <c r="F12" s="1"/>
      <c r="G12" s="46"/>
      <c r="H12" s="273"/>
      <c r="I12" s="274"/>
      <c r="J12" s="277"/>
      <c r="K12" s="278"/>
    </row>
    <row r="13" spans="1:12">
      <c r="A13" s="45" t="s">
        <v>7</v>
      </c>
      <c r="B13" s="1"/>
      <c r="C13" s="1"/>
      <c r="D13" s="1"/>
      <c r="E13" s="1"/>
      <c r="F13" s="283"/>
      <c r="G13" s="284"/>
      <c r="H13" s="279" t="s">
        <v>8</v>
      </c>
      <c r="I13" s="280"/>
      <c r="J13" s="281" t="s">
        <v>9</v>
      </c>
      <c r="K13" s="282"/>
    </row>
    <row r="14" spans="1:12">
      <c r="A14" s="45" t="s">
        <v>10</v>
      </c>
      <c r="B14" s="1"/>
      <c r="F14" s="244"/>
      <c r="G14" s="285"/>
      <c r="H14" s="484" t="s">
        <v>11</v>
      </c>
      <c r="I14" s="257"/>
      <c r="J14" s="257"/>
      <c r="K14" s="258"/>
    </row>
    <row r="15" spans="1:12" ht="13.5" customHeight="1">
      <c r="A15" s="10"/>
      <c r="B15" s="11"/>
      <c r="C15" s="11"/>
      <c r="D15" s="11"/>
      <c r="E15" s="11"/>
      <c r="F15" s="61"/>
      <c r="G15" s="62"/>
      <c r="H15" s="288" t="s">
        <v>12</v>
      </c>
      <c r="I15" s="289"/>
      <c r="J15" s="289"/>
      <c r="K15" s="290"/>
    </row>
    <row r="16" spans="1:12">
      <c r="A16" s="12" t="s">
        <v>13</v>
      </c>
      <c r="B16" s="13"/>
      <c r="C16" s="13"/>
      <c r="D16" s="13"/>
      <c r="E16" s="13"/>
      <c r="F16" s="13"/>
      <c r="G16" s="63"/>
      <c r="H16" s="261"/>
      <c r="I16" s="291"/>
      <c r="J16" s="291"/>
      <c r="K16" s="292"/>
    </row>
    <row r="17" spans="1:11" ht="13.5" hidden="1" customHeight="1">
      <c r="A17" s="14"/>
      <c r="G17" s="59"/>
      <c r="H17" s="261"/>
      <c r="I17" s="291"/>
      <c r="J17" s="291"/>
      <c r="K17" s="292"/>
    </row>
    <row r="18" spans="1:11" ht="6" customHeight="1">
      <c r="A18" s="14"/>
      <c r="G18" s="59"/>
      <c r="H18" s="261"/>
      <c r="I18" s="291"/>
      <c r="J18" s="291"/>
      <c r="K18" s="292"/>
    </row>
    <row r="19" spans="1:11" ht="20.25">
      <c r="A19" s="66" t="s">
        <v>14</v>
      </c>
      <c r="B19" s="1"/>
      <c r="C19" s="1"/>
      <c r="D19" s="1"/>
      <c r="E19" s="1"/>
      <c r="G19" s="59"/>
      <c r="H19" s="263"/>
      <c r="I19" s="293"/>
      <c r="J19" s="293"/>
      <c r="K19" s="294"/>
    </row>
    <row r="20" spans="1:11">
      <c r="A20" s="84" t="s">
        <v>15</v>
      </c>
      <c r="B20" s="1"/>
      <c r="C20" s="1"/>
      <c r="D20" s="1"/>
      <c r="E20" s="1"/>
      <c r="G20" s="59"/>
      <c r="H20" s="64" t="s">
        <v>16</v>
      </c>
      <c r="K20" s="15"/>
    </row>
    <row r="21" spans="1:11">
      <c r="A21" s="84" t="s">
        <v>17</v>
      </c>
      <c r="B21" s="1"/>
      <c r="C21" s="1"/>
      <c r="D21" s="1"/>
      <c r="E21" s="1"/>
      <c r="G21" s="59"/>
      <c r="H21" s="64"/>
      <c r="K21" s="15"/>
    </row>
    <row r="22" spans="1:11" ht="15" customHeight="1">
      <c r="A22" s="45" t="s">
        <v>18</v>
      </c>
      <c r="B22" s="1"/>
      <c r="C22" s="1"/>
      <c r="D22" s="133"/>
      <c r="E22" s="133"/>
      <c r="F22" s="286"/>
      <c r="G22" s="287"/>
      <c r="H22" s="64" t="s">
        <v>19</v>
      </c>
      <c r="K22" s="15"/>
    </row>
    <row r="23" spans="1:11" ht="15" customHeight="1">
      <c r="A23" s="419"/>
      <c r="B23" s="420"/>
      <c r="C23" s="420"/>
      <c r="D23" s="133"/>
      <c r="E23" s="133"/>
      <c r="F23" s="286"/>
      <c r="G23" s="287"/>
      <c r="H23" s="64" t="s">
        <v>20</v>
      </c>
      <c r="K23" s="15"/>
    </row>
    <row r="24" spans="1:11">
      <c r="A24" s="19"/>
      <c r="B24" s="20"/>
      <c r="C24" s="311"/>
      <c r="D24" s="311"/>
      <c r="E24" s="311"/>
      <c r="F24" s="311"/>
      <c r="G24" s="62"/>
      <c r="K24" s="15"/>
    </row>
    <row r="25" spans="1:11">
      <c r="A25" s="312" t="s">
        <v>21</v>
      </c>
      <c r="B25" s="313"/>
      <c r="C25" s="313"/>
      <c r="D25" s="313"/>
      <c r="E25" s="313"/>
      <c r="F25" s="313"/>
      <c r="G25" s="314"/>
      <c r="H25" s="64" t="s">
        <v>22</v>
      </c>
      <c r="K25" s="15"/>
    </row>
    <row r="26" spans="1:11">
      <c r="A26" s="315" t="s">
        <v>23</v>
      </c>
      <c r="B26" s="316"/>
      <c r="C26" s="316"/>
      <c r="D26" s="316"/>
      <c r="E26" s="316"/>
      <c r="F26" s="316"/>
      <c r="G26" s="317"/>
      <c r="H26" s="64" t="s">
        <v>24</v>
      </c>
      <c r="K26" s="15"/>
    </row>
    <row r="27" spans="1:11">
      <c r="A27" s="295" t="s">
        <v>25</v>
      </c>
      <c r="B27" s="296"/>
      <c r="C27" s="296"/>
      <c r="D27" s="296"/>
      <c r="E27" s="296"/>
      <c r="F27" s="296"/>
      <c r="G27" s="296"/>
      <c r="H27" s="5" t="s">
        <v>26</v>
      </c>
      <c r="K27" s="15"/>
    </row>
    <row r="28" spans="1:11" ht="15" customHeight="1" thickBot="1">
      <c r="A28" s="297" t="s">
        <v>27</v>
      </c>
      <c r="B28" s="298"/>
      <c r="C28" s="298"/>
      <c r="D28" s="298"/>
      <c r="E28" s="298"/>
      <c r="F28" s="298"/>
      <c r="G28" s="299"/>
      <c r="H28" s="99"/>
      <c r="I28" s="6"/>
      <c r="J28" s="6"/>
      <c r="K28" s="16"/>
    </row>
    <row r="29" spans="1:11" ht="15.75" thickBot="1">
      <c r="H29" s="100"/>
    </row>
    <row r="30" spans="1:11" ht="13.5" customHeight="1">
      <c r="A30" s="300" t="s">
        <v>28</v>
      </c>
      <c r="B30" s="301"/>
      <c r="C30" s="301"/>
      <c r="D30" s="304" t="s">
        <v>29</v>
      </c>
      <c r="E30" s="304" t="s">
        <v>30</v>
      </c>
      <c r="F30" s="308" t="s">
        <v>31</v>
      </c>
      <c r="G30" s="306" t="s">
        <v>32</v>
      </c>
      <c r="H30" s="421" t="s">
        <v>33</v>
      </c>
      <c r="I30" s="260"/>
      <c r="J30" s="306" t="s">
        <v>34</v>
      </c>
      <c r="K30" s="319"/>
    </row>
    <row r="31" spans="1:11" ht="15" customHeight="1">
      <c r="A31" s="302"/>
      <c r="B31" s="303"/>
      <c r="C31" s="303"/>
      <c r="D31" s="305"/>
      <c r="E31" s="305"/>
      <c r="F31" s="309"/>
      <c r="G31" s="303"/>
      <c r="H31" s="261"/>
      <c r="I31" s="262"/>
      <c r="J31" s="303"/>
      <c r="K31" s="320"/>
    </row>
    <row r="32" spans="1:11" ht="15" customHeight="1">
      <c r="A32" s="302"/>
      <c r="B32" s="303"/>
      <c r="C32" s="303"/>
      <c r="D32" s="305"/>
      <c r="E32" s="305"/>
      <c r="F32" s="309"/>
      <c r="G32" s="303"/>
      <c r="H32" s="261"/>
      <c r="I32" s="262"/>
      <c r="J32" s="303"/>
      <c r="K32" s="320"/>
    </row>
    <row r="33" spans="1:12" ht="15" customHeight="1">
      <c r="A33" s="302"/>
      <c r="B33" s="303"/>
      <c r="C33" s="303"/>
      <c r="D33" s="322"/>
      <c r="E33" s="322"/>
      <c r="F33" s="310"/>
      <c r="G33" s="307"/>
      <c r="H33" s="263"/>
      <c r="I33" s="264"/>
      <c r="J33" s="307"/>
      <c r="K33" s="321"/>
      <c r="L33" s="9"/>
    </row>
    <row r="34" spans="1:12" ht="20.100000000000001" customHeight="1">
      <c r="A34" s="137">
        <v>1</v>
      </c>
      <c r="B34" s="447" t="s">
        <v>35</v>
      </c>
      <c r="C34" s="309"/>
      <c r="D34" s="135" t="str">
        <f>VLOOKUP(B34,データ!$B$3:$N$27,2,FALSE)</f>
        <v xml:space="preserve"> LIGHT COVER-S500H</v>
      </c>
      <c r="E34" s="127"/>
      <c r="F34" s="135" t="str">
        <f>VLOOKUP(B34,データ!$B$3:$N$37,13,FALSE)</f>
        <v>pcs</v>
      </c>
      <c r="G34" s="123">
        <v>300</v>
      </c>
      <c r="H34" s="413">
        <f>VLOOKUP(B34,データ!$B$3:$D$37,3,FALSE)</f>
        <v>2.81</v>
      </c>
      <c r="I34" s="413"/>
      <c r="J34" s="411">
        <f>H34*G34</f>
        <v>843</v>
      </c>
      <c r="K34" s="412"/>
      <c r="L34" s="9"/>
    </row>
    <row r="35" spans="1:12" ht="20.100000000000001" customHeight="1">
      <c r="A35" s="137">
        <f t="shared" ref="A35:A49" si="0">A34+1</f>
        <v>2</v>
      </c>
      <c r="B35" s="447" t="s">
        <v>38</v>
      </c>
      <c r="C35" s="309"/>
      <c r="D35" s="135" t="str">
        <f>VLOOKUP(B35,データ!$B$3:$N$27,2,FALSE)</f>
        <v>DOOR UPPER SASH L-S500H</v>
      </c>
      <c r="E35" s="127"/>
      <c r="F35" s="135" t="str">
        <f>VLOOKUP(B35,データ!$B$3:$N$37,13,FALSE)</f>
        <v>pcs</v>
      </c>
      <c r="G35" s="123">
        <v>300</v>
      </c>
      <c r="H35" s="413">
        <f>VLOOKUP(B35,データ!$B$3:$D$37,3,FALSE)</f>
        <v>4.79</v>
      </c>
      <c r="I35" s="413"/>
      <c r="J35" s="411">
        <f t="shared" ref="J35:J49" si="1">H35*G35</f>
        <v>1437</v>
      </c>
      <c r="K35" s="412"/>
      <c r="L35" s="9"/>
    </row>
    <row r="36" spans="1:12" ht="20.100000000000001" customHeight="1">
      <c r="A36" s="137">
        <f t="shared" si="0"/>
        <v>3</v>
      </c>
      <c r="B36" s="447" t="s">
        <v>39</v>
      </c>
      <c r="C36" s="309"/>
      <c r="D36" s="135" t="str">
        <f>VLOOKUP(B36,データ!$B$3:$N$128,2,FALSE)</f>
        <v>DOOR LOWER SASH L-S500H</v>
      </c>
      <c r="E36" s="127"/>
      <c r="F36" s="135" t="str">
        <f>VLOOKUP(B36,データ!$B$3:$N$37,13,FALSE)</f>
        <v>pcs</v>
      </c>
      <c r="G36" s="123">
        <v>300</v>
      </c>
      <c r="H36" s="413">
        <f>VLOOKUP(B36,データ!$B$3:$D$37,3,FALSE)</f>
        <v>6.6</v>
      </c>
      <c r="I36" s="413"/>
      <c r="J36" s="411">
        <f t="shared" si="1"/>
        <v>1980</v>
      </c>
      <c r="K36" s="412"/>
      <c r="L36" s="9"/>
    </row>
    <row r="37" spans="1:12" ht="20.100000000000001" customHeight="1">
      <c r="A37" s="137">
        <f t="shared" si="0"/>
        <v>4</v>
      </c>
      <c r="B37" s="447" t="s">
        <v>40</v>
      </c>
      <c r="C37" s="309"/>
      <c r="D37" s="135" t="str">
        <f>VLOOKUP(B37,データ!$B$3:$N$128,2,FALSE)</f>
        <v xml:space="preserve"> DOOR LOWER SASH R-S500H</v>
      </c>
      <c r="E37" s="127"/>
      <c r="F37" s="135" t="str">
        <f>VLOOKUP(B37,データ!$B$3:$N$37,13,FALSE)</f>
        <v>pcs</v>
      </c>
      <c r="G37" s="123">
        <v>300</v>
      </c>
      <c r="H37" s="413">
        <f>VLOOKUP(B37,データ!$B$3:$D$37,3,FALSE)</f>
        <v>7.61</v>
      </c>
      <c r="I37" s="413"/>
      <c r="J37" s="411">
        <f t="shared" si="1"/>
        <v>2283</v>
      </c>
      <c r="K37" s="412"/>
    </row>
    <row r="38" spans="1:12" ht="20.100000000000001" customHeight="1">
      <c r="A38" s="137">
        <f t="shared" si="0"/>
        <v>5</v>
      </c>
      <c r="B38" s="323" t="s">
        <v>36</v>
      </c>
      <c r="C38" s="323"/>
      <c r="D38" s="135" t="str">
        <f>VLOOKUP(B38,データ!$B$3:$N$128,2,FALSE)</f>
        <v>RAIL TOP-S500H</v>
      </c>
      <c r="E38" s="127"/>
      <c r="F38" s="135" t="str">
        <f>VLOOKUP(B38,データ!$B$3:$N$37,13,FALSE)</f>
        <v>pcs</v>
      </c>
      <c r="G38" s="123">
        <v>300</v>
      </c>
      <c r="H38" s="413">
        <f>VLOOKUP(B38,データ!$B$3:$D$37,3,FALSE)</f>
        <v>6.13</v>
      </c>
      <c r="I38" s="413"/>
      <c r="J38" s="411">
        <f t="shared" si="1"/>
        <v>1839</v>
      </c>
      <c r="K38" s="412"/>
    </row>
    <row r="39" spans="1:12" ht="20.100000000000001" customHeight="1">
      <c r="A39" s="137">
        <f t="shared" si="0"/>
        <v>6</v>
      </c>
      <c r="B39" s="323" t="s">
        <v>37</v>
      </c>
      <c r="C39" s="323"/>
      <c r="D39" s="135" t="str">
        <f>VLOOKUP(B39,データ!$B$3:$N$128,2,FALSE)</f>
        <v xml:space="preserve"> RAIL BOTTOM-S500H</v>
      </c>
      <c r="E39" s="127"/>
      <c r="F39" s="135" t="str">
        <f>VLOOKUP(B39,データ!$B$3:$N$37,13,FALSE)</f>
        <v>pcs</v>
      </c>
      <c r="G39" s="123">
        <v>300</v>
      </c>
      <c r="H39" s="413">
        <f>VLOOKUP(B39,データ!$B$3:$D$37,3,FALSE)</f>
        <v>9.8699999999999992</v>
      </c>
      <c r="I39" s="413"/>
      <c r="J39" s="411">
        <f t="shared" si="1"/>
        <v>2960.9999999999995</v>
      </c>
      <c r="K39" s="412"/>
    </row>
    <row r="40" spans="1:12" ht="20.100000000000001" customHeight="1">
      <c r="A40" s="137"/>
      <c r="B40" s="323" t="s">
        <v>41</v>
      </c>
      <c r="C40" s="323"/>
      <c r="D40" s="135" t="str">
        <f>VLOOKUP(B40,データ!$B$3:$N$128,2,FALSE)</f>
        <v>DOOR UPPER SASH R-S500H</v>
      </c>
      <c r="E40" s="127"/>
      <c r="F40" s="135" t="str">
        <f>VLOOKUP(B40,データ!$B$3:$N$37,13,FALSE)</f>
        <v>pcs</v>
      </c>
      <c r="G40" s="123">
        <v>300</v>
      </c>
      <c r="H40" s="413">
        <f>VLOOKUP(B40,データ!$B$3:$D$37,3,FALSE)</f>
        <v>4.79</v>
      </c>
      <c r="I40" s="413"/>
      <c r="J40" s="411">
        <f t="shared" si="1"/>
        <v>1437</v>
      </c>
      <c r="K40" s="412"/>
    </row>
    <row r="41" spans="1:12" ht="20.100000000000001" customHeight="1">
      <c r="A41" s="137"/>
      <c r="B41" s="323" t="s">
        <v>49</v>
      </c>
      <c r="C41" s="323"/>
      <c r="D41" s="135" t="e">
        <f>VLOOKUP(B41,データ!$B$3:$N$128,2,FALSE)</f>
        <v>#N/A</v>
      </c>
      <c r="E41" s="127"/>
      <c r="F41" s="135" t="e">
        <f>VLOOKUP(B41,データ!$B$3:$N$37,13,FALSE)</f>
        <v>#N/A</v>
      </c>
      <c r="G41" s="123">
        <v>844</v>
      </c>
      <c r="H41" s="413" t="e">
        <f>VLOOKUP(B41,データ!$B$3:$D$37,3,FALSE)</f>
        <v>#N/A</v>
      </c>
      <c r="I41" s="413"/>
      <c r="J41" s="411" t="e">
        <f t="shared" si="1"/>
        <v>#N/A</v>
      </c>
      <c r="K41" s="412"/>
    </row>
    <row r="42" spans="1:12" ht="20.100000000000001" customHeight="1">
      <c r="A42" s="137"/>
      <c r="B42" s="323" t="s">
        <v>50</v>
      </c>
      <c r="C42" s="323"/>
      <c r="D42" s="135" t="e">
        <f>VLOOKUP(B42,データ!$B$3:$N$128,2,FALSE)</f>
        <v>#N/A</v>
      </c>
      <c r="E42" s="127"/>
      <c r="F42" s="135" t="e">
        <f>VLOOKUP(B42,データ!$B$3:$N$37,13,FALSE)</f>
        <v>#N/A</v>
      </c>
      <c r="G42" s="123">
        <v>623</v>
      </c>
      <c r="H42" s="413" t="e">
        <f>VLOOKUP(B42,データ!$B$3:$D$37,3,FALSE)</f>
        <v>#N/A</v>
      </c>
      <c r="I42" s="413"/>
      <c r="J42" s="411" t="e">
        <f t="shared" si="1"/>
        <v>#N/A</v>
      </c>
      <c r="K42" s="412"/>
    </row>
    <row r="43" spans="1:12" ht="20.100000000000001" customHeight="1">
      <c r="A43" s="137"/>
      <c r="B43" s="323" t="s">
        <v>51</v>
      </c>
      <c r="C43" s="323"/>
      <c r="D43" s="135" t="str">
        <f>VLOOKUP(B43,データ!$B$3:$N$128,2,FALSE)</f>
        <v>DOOR CENTER SASH</v>
      </c>
      <c r="E43" s="127"/>
      <c r="F43" s="135" t="str">
        <f>VLOOKUP(B43,データ!$B$3:$N$37,13,FALSE)</f>
        <v>pcs</v>
      </c>
      <c r="G43" s="123">
        <v>782</v>
      </c>
      <c r="H43" s="413">
        <f>VLOOKUP(B43,データ!$B$3:$D$37,3,FALSE)</f>
        <v>7.94</v>
      </c>
      <c r="I43" s="413"/>
      <c r="J43" s="411">
        <f t="shared" si="1"/>
        <v>6209.08</v>
      </c>
      <c r="K43" s="412"/>
    </row>
    <row r="44" spans="1:12" ht="20.100000000000001" customHeight="1">
      <c r="A44" s="137"/>
      <c r="B44" s="323" t="s">
        <v>42</v>
      </c>
      <c r="C44" s="323"/>
      <c r="D44" s="135" t="str">
        <f>VLOOKUP(B44,データ!$B$3:$N$128,2,FALSE)</f>
        <v>DOOR UPPER SASH</v>
      </c>
      <c r="E44" s="127"/>
      <c r="F44" s="135" t="str">
        <f>VLOOKUP(B44,データ!$B$3:$N$37,13,FALSE)</f>
        <v>pcs</v>
      </c>
      <c r="G44" s="123">
        <v>2400</v>
      </c>
      <c r="H44" s="413">
        <f>VLOOKUP(B44,データ!$B$3:$D$37,3,FALSE)</f>
        <v>4.1900000000000004</v>
      </c>
      <c r="I44" s="413"/>
      <c r="J44" s="411">
        <f t="shared" si="1"/>
        <v>10056.000000000002</v>
      </c>
      <c r="K44" s="412"/>
    </row>
    <row r="45" spans="1:12" ht="20.100000000000001" customHeight="1">
      <c r="A45" s="137"/>
      <c r="B45" s="323" t="s">
        <v>43</v>
      </c>
      <c r="C45" s="323"/>
      <c r="D45" s="135" t="str">
        <f>VLOOKUP(B45,データ!$B$3:$N$128,2,FALSE)</f>
        <v>DOOR LOWER SASH R</v>
      </c>
      <c r="E45" s="127"/>
      <c r="F45" s="135" t="str">
        <f>VLOOKUP(B45,データ!$B$3:$N$37,13,FALSE)</f>
        <v>pcs</v>
      </c>
      <c r="G45" s="123">
        <v>600</v>
      </c>
      <c r="H45" s="413">
        <f>VLOOKUP(B45,データ!$B$3:$D$37,3,FALSE)</f>
        <v>6.22</v>
      </c>
      <c r="I45" s="413"/>
      <c r="J45" s="411">
        <f t="shared" si="1"/>
        <v>3732</v>
      </c>
      <c r="K45" s="412"/>
    </row>
    <row r="46" spans="1:12" ht="20.100000000000001" customHeight="1">
      <c r="A46" s="137"/>
      <c r="B46" s="323" t="s">
        <v>44</v>
      </c>
      <c r="C46" s="323"/>
      <c r="D46" s="135" t="str">
        <f>VLOOKUP(B46,データ!$B$3:$N$128,2,FALSE)</f>
        <v>DOOR LOWER SASH L</v>
      </c>
      <c r="E46" s="127"/>
      <c r="F46" s="135" t="str">
        <f>VLOOKUP(B46,データ!$B$3:$N$37,13,FALSE)</f>
        <v>pcs</v>
      </c>
      <c r="G46" s="123">
        <v>600</v>
      </c>
      <c r="H46" s="413">
        <f>VLOOKUP(B46,データ!$B$3:$D$37,3,FALSE)</f>
        <v>5.84</v>
      </c>
      <c r="I46" s="413"/>
      <c r="J46" s="411">
        <f t="shared" si="1"/>
        <v>3504</v>
      </c>
      <c r="K46" s="412"/>
    </row>
    <row r="47" spans="1:12" ht="20.100000000000001" customHeight="1">
      <c r="A47" s="137"/>
      <c r="B47" s="323" t="s">
        <v>45</v>
      </c>
      <c r="C47" s="323"/>
      <c r="D47" s="135" t="e">
        <f>VLOOKUP(B47,データ!$B$3:$N$128,2,FALSE)</f>
        <v>#N/A</v>
      </c>
      <c r="E47" s="127"/>
      <c r="F47" s="135" t="e">
        <f>VLOOKUP(B47,データ!$B$3:$N$37,13,FALSE)</f>
        <v>#N/A</v>
      </c>
      <c r="G47" s="123">
        <v>459</v>
      </c>
      <c r="H47" s="413" t="e">
        <f>VLOOKUP(B47,データ!$B$3:$D$37,3,FALSE)</f>
        <v>#N/A</v>
      </c>
      <c r="I47" s="413"/>
      <c r="J47" s="411" t="e">
        <f t="shared" si="1"/>
        <v>#N/A</v>
      </c>
      <c r="K47" s="412"/>
    </row>
    <row r="48" spans="1:12" ht="20.100000000000001" customHeight="1">
      <c r="A48" s="137">
        <f>A39+1</f>
        <v>7</v>
      </c>
      <c r="B48" s="323" t="s">
        <v>46</v>
      </c>
      <c r="C48" s="323"/>
      <c r="D48" s="135" t="e">
        <f>VLOOKUP(B48,データ!$B$3:$N$128,2,FALSE)</f>
        <v>#N/A</v>
      </c>
      <c r="E48" s="127"/>
      <c r="F48" s="135" t="e">
        <f>VLOOKUP(B48,データ!$B$3:$N$37,13,FALSE)</f>
        <v>#N/A</v>
      </c>
      <c r="G48" s="123">
        <v>439</v>
      </c>
      <c r="H48" s="413" t="e">
        <f>VLOOKUP(B48,データ!$B$3:$D$37,3,FALSE)</f>
        <v>#N/A</v>
      </c>
      <c r="I48" s="413"/>
      <c r="J48" s="411" t="e">
        <f t="shared" si="1"/>
        <v>#N/A</v>
      </c>
      <c r="K48" s="412"/>
    </row>
    <row r="49" spans="1:12" ht="20.100000000000001" customHeight="1">
      <c r="A49" s="137">
        <f t="shared" si="0"/>
        <v>8</v>
      </c>
      <c r="B49" s="303" t="s">
        <v>48</v>
      </c>
      <c r="C49" s="303"/>
      <c r="D49" s="135" t="str">
        <f>VLOOKUP(B49,データ!$B$3:$N$128,2,FALSE)</f>
        <v>DOOR CENTER SASH</v>
      </c>
      <c r="E49" s="127"/>
      <c r="F49" s="135" t="str">
        <f>VLOOKUP(B49,データ!$B$3:$N$37,13,FALSE)</f>
        <v>pcs</v>
      </c>
      <c r="G49" s="123">
        <v>554</v>
      </c>
      <c r="H49" s="413">
        <f>VLOOKUP(B49,データ!$B$3:$D$37,3,FALSE)</f>
        <v>4.2699999999999996</v>
      </c>
      <c r="I49" s="413"/>
      <c r="J49" s="411">
        <f t="shared" si="1"/>
        <v>2365.58</v>
      </c>
      <c r="K49" s="412"/>
    </row>
    <row r="50" spans="1:12" ht="20.100000000000001" customHeight="1">
      <c r="A50" s="137"/>
      <c r="B50" s="303" t="s">
        <v>52</v>
      </c>
      <c r="C50" s="303"/>
      <c r="D50" s="135" t="str">
        <f>VLOOKUP(B50,データ!$B$3:$N$128,2,FALSE)</f>
        <v>RAIL SIDE</v>
      </c>
      <c r="E50" s="127"/>
      <c r="F50" s="135" t="str">
        <f>VLOOKUP(B50,データ!$B$3:$N$37,13,FALSE)</f>
        <v>pcs</v>
      </c>
      <c r="G50" s="123">
        <v>600</v>
      </c>
      <c r="H50" s="413">
        <f>VLOOKUP(B50,データ!$B$3:$D$37,3,FALSE)</f>
        <v>4.2699999999999996</v>
      </c>
      <c r="I50" s="413"/>
      <c r="J50" s="411">
        <f t="shared" ref="J50:J51" si="2">H50*G50</f>
        <v>2561.9999999999995</v>
      </c>
      <c r="K50" s="412"/>
    </row>
    <row r="51" spans="1:12" ht="20.100000000000001" customHeight="1">
      <c r="A51" s="137"/>
      <c r="B51" s="303" t="s">
        <v>53</v>
      </c>
      <c r="C51" s="303"/>
      <c r="D51" s="135" t="str">
        <f>VLOOKUP(B51,データ!$B$3:$N$128,2,FALSE)</f>
        <v>RAIL SIDE</v>
      </c>
      <c r="E51" s="127"/>
      <c r="F51" s="135" t="str">
        <f>VLOOKUP(B51,データ!$B$3:$N$37,13,FALSE)</f>
        <v>pcs</v>
      </c>
      <c r="G51" s="123">
        <v>600</v>
      </c>
      <c r="H51" s="413">
        <f>VLOOKUP(B51,データ!$B$3:$D$37,3,FALSE)</f>
        <v>7.8</v>
      </c>
      <c r="I51" s="413"/>
      <c r="J51" s="411">
        <f t="shared" si="2"/>
        <v>4680</v>
      </c>
      <c r="K51" s="412"/>
    </row>
    <row r="52" spans="1:12" ht="20.100000000000001" customHeight="1">
      <c r="A52" s="137">
        <f>A49+1</f>
        <v>9</v>
      </c>
      <c r="B52" s="323"/>
      <c r="C52" s="323"/>
      <c r="D52" s="132"/>
      <c r="E52" s="129"/>
      <c r="F52" s="135"/>
      <c r="G52" s="123"/>
      <c r="H52" s="413"/>
      <c r="I52" s="413"/>
      <c r="J52" s="411"/>
      <c r="K52" s="412"/>
    </row>
    <row r="53" spans="1:12" ht="18.75" customHeight="1" thickBot="1">
      <c r="A53" s="483" t="s">
        <v>54</v>
      </c>
      <c r="B53" s="249"/>
      <c r="C53" s="249"/>
      <c r="D53" s="249"/>
      <c r="E53" s="249"/>
      <c r="F53" s="249"/>
      <c r="G53" s="249"/>
      <c r="H53" s="249"/>
      <c r="I53" s="250"/>
      <c r="J53" s="423" t="e">
        <f>SUM(J34:K52)</f>
        <v>#N/A</v>
      </c>
      <c r="K53" s="424"/>
      <c r="L53" s="9"/>
    </row>
    <row r="54" spans="1:12" ht="20.100000000000001" customHeight="1"/>
    <row r="55" spans="1:12" ht="20.100000000000001" customHeight="1">
      <c r="A55" s="247" t="s">
        <v>77</v>
      </c>
      <c r="B55" s="247"/>
      <c r="C55" s="247"/>
      <c r="D55" s="247"/>
      <c r="E55" s="140"/>
      <c r="H55" s="244" t="s">
        <v>56</v>
      </c>
      <c r="I55" s="244"/>
      <c r="J55" s="244"/>
      <c r="K55" s="65"/>
    </row>
    <row r="56" spans="1:12" ht="20.100000000000001" customHeight="1">
      <c r="A56" s="480" t="s">
        <v>78</v>
      </c>
      <c r="B56" s="481"/>
      <c r="C56" s="481"/>
      <c r="D56" s="481"/>
      <c r="E56" s="141"/>
      <c r="F56" s="18"/>
      <c r="G56" s="18"/>
      <c r="H56" s="18"/>
      <c r="I56" s="18"/>
      <c r="J56" s="17"/>
    </row>
    <row r="57" spans="1:12" ht="20.100000000000001" customHeight="1">
      <c r="A57" s="131" t="s">
        <v>55</v>
      </c>
      <c r="B57" s="131"/>
      <c r="C57" s="131"/>
      <c r="D57" s="131"/>
      <c r="E57" s="139"/>
      <c r="F57" s="18"/>
      <c r="G57" s="18"/>
      <c r="H57" s="18"/>
      <c r="I57" s="18"/>
    </row>
    <row r="58" spans="1:12" ht="96" customHeight="1">
      <c r="A58" s="296"/>
      <c r="B58" s="296"/>
      <c r="C58" s="296"/>
      <c r="D58" s="136"/>
      <c r="E58" s="136"/>
      <c r="F58" s="18"/>
      <c r="G58" s="18"/>
      <c r="H58" s="18"/>
      <c r="I58" s="18"/>
    </row>
    <row r="59" spans="1:12" ht="20.100000000000001" customHeight="1">
      <c r="A59" s="482"/>
      <c r="B59" s="482"/>
      <c r="C59" s="482"/>
      <c r="D59" s="139"/>
      <c r="E59" s="139"/>
      <c r="F59" s="18"/>
      <c r="G59" s="18"/>
      <c r="H59" s="18"/>
      <c r="I59" s="18"/>
    </row>
  </sheetData>
  <mergeCells count="89">
    <mergeCell ref="C24:F24"/>
    <mergeCell ref="A25:G25"/>
    <mergeCell ref="A1:L4"/>
    <mergeCell ref="H8:K10"/>
    <mergeCell ref="H11:I12"/>
    <mergeCell ref="J11:K12"/>
    <mergeCell ref="F13:G13"/>
    <mergeCell ref="H13:I13"/>
    <mergeCell ref="J13:K13"/>
    <mergeCell ref="F14:G14"/>
    <mergeCell ref="H14:K14"/>
    <mergeCell ref="H15:K19"/>
    <mergeCell ref="F22:G22"/>
    <mergeCell ref="A23:C23"/>
    <mergeCell ref="F23:G23"/>
    <mergeCell ref="A26:G26"/>
    <mergeCell ref="A27:G27"/>
    <mergeCell ref="A28:G28"/>
    <mergeCell ref="H34:I34"/>
    <mergeCell ref="J34:K34"/>
    <mergeCell ref="H30:I33"/>
    <mergeCell ref="J30:K33"/>
    <mergeCell ref="B34:C34"/>
    <mergeCell ref="A30:C33"/>
    <mergeCell ref="D30:D33"/>
    <mergeCell ref="E30:E33"/>
    <mergeCell ref="F30:F33"/>
    <mergeCell ref="G30:G33"/>
    <mergeCell ref="B36:C36"/>
    <mergeCell ref="H36:I36"/>
    <mergeCell ref="J36:K36"/>
    <mergeCell ref="B35:C35"/>
    <mergeCell ref="H35:I35"/>
    <mergeCell ref="J35:K35"/>
    <mergeCell ref="B37:C37"/>
    <mergeCell ref="H37:I37"/>
    <mergeCell ref="J37:K37"/>
    <mergeCell ref="B38:C38"/>
    <mergeCell ref="H38:I38"/>
    <mergeCell ref="J38:K38"/>
    <mergeCell ref="B39:C39"/>
    <mergeCell ref="H39:I39"/>
    <mergeCell ref="J39:K39"/>
    <mergeCell ref="B40:C40"/>
    <mergeCell ref="H40:I40"/>
    <mergeCell ref="J40:K40"/>
    <mergeCell ref="B41:C41"/>
    <mergeCell ref="H41:I41"/>
    <mergeCell ref="J41:K41"/>
    <mergeCell ref="B42:C42"/>
    <mergeCell ref="H42:I42"/>
    <mergeCell ref="J42:K42"/>
    <mergeCell ref="B43:C43"/>
    <mergeCell ref="H43:I43"/>
    <mergeCell ref="J43:K43"/>
    <mergeCell ref="B44:C44"/>
    <mergeCell ref="H44:I44"/>
    <mergeCell ref="J44:K44"/>
    <mergeCell ref="B45:C45"/>
    <mergeCell ref="H45:I45"/>
    <mergeCell ref="J45:K45"/>
    <mergeCell ref="B46:C46"/>
    <mergeCell ref="H46:I46"/>
    <mergeCell ref="J46:K46"/>
    <mergeCell ref="B47:C47"/>
    <mergeCell ref="H47:I47"/>
    <mergeCell ref="J47:K47"/>
    <mergeCell ref="B48:C48"/>
    <mergeCell ref="H48:I48"/>
    <mergeCell ref="J48:K48"/>
    <mergeCell ref="B49:C49"/>
    <mergeCell ref="H49:I49"/>
    <mergeCell ref="J49:K49"/>
    <mergeCell ref="J52:K52"/>
    <mergeCell ref="A53:I53"/>
    <mergeCell ref="J53:K53"/>
    <mergeCell ref="B52:C52"/>
    <mergeCell ref="H52:I52"/>
    <mergeCell ref="B50:C50"/>
    <mergeCell ref="B51:C51"/>
    <mergeCell ref="H50:I50"/>
    <mergeCell ref="J50:K50"/>
    <mergeCell ref="H51:I51"/>
    <mergeCell ref="J51:K51"/>
    <mergeCell ref="A55:D55"/>
    <mergeCell ref="H55:J55"/>
    <mergeCell ref="A56:D56"/>
    <mergeCell ref="A58:C58"/>
    <mergeCell ref="A59:C59"/>
  </mergeCells>
  <phoneticPr fontId="1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データ!$B$3:$B$37</xm:f>
          </x14:formula1>
          <xm:sqref>B34:B52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P21"/>
  <sheetViews>
    <sheetView topLeftCell="A13" workbookViewId="0">
      <selection activeCell="L19" sqref="L19"/>
    </sheetView>
  </sheetViews>
  <sheetFormatPr defaultRowHeight="13.5"/>
  <sheetData>
    <row r="3" spans="1:5" ht="37.5">
      <c r="A3" s="86" t="s">
        <v>79</v>
      </c>
      <c r="B3" s="2"/>
    </row>
    <row r="4" spans="1:5" ht="25.5">
      <c r="A4" s="87" t="s">
        <v>3</v>
      </c>
      <c r="B4" s="2"/>
    </row>
    <row r="5" spans="1:5" ht="25.5">
      <c r="A5" s="87" t="s">
        <v>204</v>
      </c>
      <c r="B5" s="2"/>
    </row>
    <row r="6" spans="1:5" ht="25.5">
      <c r="A6" s="87" t="s">
        <v>80</v>
      </c>
      <c r="B6" s="2"/>
    </row>
    <row r="7" spans="1:5" ht="27">
      <c r="A7" s="88"/>
      <c r="B7" s="2"/>
    </row>
    <row r="8" spans="1:5" ht="27">
      <c r="A8" s="88"/>
      <c r="B8" s="2"/>
    </row>
    <row r="9" spans="1:5" ht="27">
      <c r="A9" s="88"/>
      <c r="B9" s="2"/>
    </row>
    <row r="13" spans="1:5" ht="37.5">
      <c r="A13" s="86" t="s">
        <v>81</v>
      </c>
      <c r="B13" s="89"/>
      <c r="C13" s="89"/>
    </row>
    <row r="14" spans="1:5" ht="27.75">
      <c r="A14" s="88" t="s">
        <v>15</v>
      </c>
      <c r="B14" s="89"/>
      <c r="C14" s="89"/>
      <c r="D14" s="90"/>
      <c r="E14" s="90"/>
    </row>
    <row r="15" spans="1:5" ht="27.75">
      <c r="A15" s="88" t="s">
        <v>197</v>
      </c>
      <c r="B15" s="89"/>
      <c r="C15" s="89"/>
      <c r="D15" s="90"/>
      <c r="E15" s="90"/>
    </row>
    <row r="16" spans="1:5" ht="27">
      <c r="A16" s="88" t="s">
        <v>82</v>
      </c>
      <c r="B16" s="88"/>
      <c r="C16" s="88"/>
      <c r="D16" s="88"/>
      <c r="E16" s="88"/>
    </row>
    <row r="17" spans="1:16" ht="27">
      <c r="A17" s="485"/>
      <c r="B17" s="485"/>
      <c r="C17" s="485"/>
      <c r="D17" s="485"/>
      <c r="E17" s="485"/>
    </row>
    <row r="21" spans="1:16" ht="42">
      <c r="A21" s="486"/>
      <c r="B21" s="486"/>
      <c r="C21" s="486"/>
      <c r="D21" s="486"/>
      <c r="E21" s="486"/>
      <c r="F21" s="486"/>
      <c r="G21" s="486"/>
      <c r="H21" s="486"/>
      <c r="I21" s="486"/>
      <c r="J21" s="486"/>
      <c r="K21" s="486"/>
      <c r="L21" s="486"/>
      <c r="M21" s="486"/>
      <c r="N21" s="486"/>
      <c r="O21" s="486"/>
      <c r="P21" s="486"/>
    </row>
  </sheetData>
  <mergeCells count="2">
    <mergeCell ref="A17:E17"/>
    <mergeCell ref="A21:P21"/>
  </mergeCells>
  <phoneticPr fontId="1"/>
  <pageMargins left="0.16" right="0.16" top="0.28000000000000003" bottom="0.16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6:AN87"/>
  <sheetViews>
    <sheetView topLeftCell="A52" workbookViewId="0">
      <selection activeCell="K88" sqref="K88"/>
    </sheetView>
  </sheetViews>
  <sheetFormatPr defaultRowHeight="13.5"/>
  <cols>
    <col min="9" max="9" width="10.625" customWidth="1"/>
    <col min="10" max="10" width="5.375" customWidth="1"/>
    <col min="11" max="11" width="9.375" customWidth="1"/>
    <col min="17" max="17" width="11.375" customWidth="1"/>
    <col min="18" max="18" width="11.125" customWidth="1"/>
    <col min="19" max="19" width="9.375" customWidth="1"/>
    <col min="20" max="20" width="1.375" customWidth="1"/>
    <col min="28" max="28" width="11.375" customWidth="1"/>
    <col min="30" max="30" width="6.375" customWidth="1"/>
  </cols>
  <sheetData>
    <row r="6" spans="1:40" ht="15" customHeight="1">
      <c r="A6" s="487" t="s">
        <v>83</v>
      </c>
      <c r="B6" s="487"/>
      <c r="C6" s="487"/>
      <c r="D6" s="487"/>
      <c r="E6" s="487"/>
      <c r="F6" s="487"/>
      <c r="G6" s="487"/>
      <c r="H6" s="487"/>
      <c r="I6" s="487"/>
      <c r="J6" s="143"/>
      <c r="K6" s="488" t="s">
        <v>84</v>
      </c>
      <c r="L6" s="487"/>
      <c r="M6" s="487"/>
      <c r="N6" s="487"/>
      <c r="O6" s="487"/>
      <c r="P6" s="487"/>
      <c r="Q6" s="487"/>
      <c r="R6" s="487"/>
      <c r="S6" s="143"/>
      <c r="T6" s="487" t="s">
        <v>85</v>
      </c>
      <c r="U6" s="487"/>
      <c r="V6" s="487"/>
      <c r="W6" s="487"/>
      <c r="X6" s="487"/>
      <c r="Y6" s="487"/>
      <c r="Z6" s="487"/>
      <c r="AA6" s="487"/>
      <c r="AB6" s="487"/>
      <c r="AC6" s="487"/>
      <c r="AD6" s="487"/>
      <c r="AE6" s="488" t="s">
        <v>86</v>
      </c>
      <c r="AF6" s="488"/>
      <c r="AG6" s="488"/>
      <c r="AH6" s="488"/>
      <c r="AI6" s="488"/>
      <c r="AJ6" s="488"/>
      <c r="AK6" s="488"/>
      <c r="AL6" s="488"/>
      <c r="AM6" s="488"/>
      <c r="AN6" s="488"/>
    </row>
    <row r="7" spans="1:40" ht="15" customHeight="1">
      <c r="A7" s="487"/>
      <c r="B7" s="487"/>
      <c r="C7" s="487"/>
      <c r="D7" s="487"/>
      <c r="E7" s="487"/>
      <c r="F7" s="487"/>
      <c r="G7" s="487"/>
      <c r="H7" s="487"/>
      <c r="I7" s="487"/>
      <c r="J7" s="143"/>
      <c r="K7" s="487"/>
      <c r="L7" s="487"/>
      <c r="M7" s="487"/>
      <c r="N7" s="487"/>
      <c r="O7" s="487"/>
      <c r="P7" s="487"/>
      <c r="Q7" s="487"/>
      <c r="R7" s="487"/>
      <c r="S7" s="143"/>
      <c r="T7" s="487"/>
      <c r="U7" s="487"/>
      <c r="V7" s="487"/>
      <c r="W7" s="487"/>
      <c r="X7" s="487"/>
      <c r="Y7" s="487"/>
      <c r="Z7" s="487"/>
      <c r="AA7" s="487"/>
      <c r="AB7" s="487"/>
      <c r="AC7" s="487"/>
      <c r="AD7" s="487"/>
      <c r="AE7" s="488"/>
      <c r="AF7" s="488"/>
      <c r="AG7" s="488"/>
      <c r="AH7" s="488"/>
      <c r="AI7" s="488"/>
      <c r="AJ7" s="488"/>
      <c r="AK7" s="488"/>
      <c r="AL7" s="488"/>
      <c r="AM7" s="488"/>
      <c r="AN7" s="488"/>
    </row>
    <row r="8" spans="1:40" ht="15" customHeight="1">
      <c r="A8" s="487"/>
      <c r="B8" s="487"/>
      <c r="C8" s="487"/>
      <c r="D8" s="487"/>
      <c r="E8" s="487"/>
      <c r="F8" s="487"/>
      <c r="G8" s="487"/>
      <c r="H8" s="487"/>
      <c r="I8" s="487"/>
      <c r="J8" s="143"/>
      <c r="K8" s="487"/>
      <c r="L8" s="487"/>
      <c r="M8" s="487"/>
      <c r="N8" s="487"/>
      <c r="O8" s="487"/>
      <c r="P8" s="487"/>
      <c r="Q8" s="487"/>
      <c r="R8" s="487"/>
      <c r="S8" s="143"/>
      <c r="T8" s="487"/>
      <c r="U8" s="487"/>
      <c r="V8" s="487"/>
      <c r="W8" s="487"/>
      <c r="X8" s="487"/>
      <c r="Y8" s="487"/>
      <c r="Z8" s="487"/>
      <c r="AA8" s="487"/>
      <c r="AB8" s="487"/>
      <c r="AC8" s="487"/>
      <c r="AD8" s="487"/>
      <c r="AE8" s="488"/>
      <c r="AF8" s="488"/>
      <c r="AG8" s="488"/>
      <c r="AH8" s="488"/>
      <c r="AI8" s="488"/>
      <c r="AJ8" s="488"/>
      <c r="AK8" s="488"/>
      <c r="AL8" s="488"/>
      <c r="AM8" s="488"/>
      <c r="AN8" s="488"/>
    </row>
    <row r="9" spans="1:40" ht="15" customHeight="1">
      <c r="A9" s="487"/>
      <c r="B9" s="487"/>
      <c r="C9" s="487"/>
      <c r="D9" s="487"/>
      <c r="E9" s="487"/>
      <c r="F9" s="487"/>
      <c r="G9" s="487"/>
      <c r="H9" s="487"/>
      <c r="I9" s="487"/>
      <c r="J9" s="143"/>
      <c r="K9" s="487"/>
      <c r="L9" s="487"/>
      <c r="M9" s="487"/>
      <c r="N9" s="487"/>
      <c r="O9" s="487"/>
      <c r="P9" s="487"/>
      <c r="Q9" s="487"/>
      <c r="R9" s="487"/>
      <c r="S9" s="143"/>
      <c r="T9" s="487"/>
      <c r="U9" s="487"/>
      <c r="V9" s="487"/>
      <c r="W9" s="487"/>
      <c r="X9" s="487"/>
      <c r="Y9" s="487"/>
      <c r="Z9" s="487"/>
      <c r="AA9" s="487"/>
      <c r="AB9" s="487"/>
      <c r="AC9" s="487"/>
      <c r="AD9" s="487"/>
      <c r="AE9" s="488"/>
      <c r="AF9" s="488"/>
      <c r="AG9" s="488"/>
      <c r="AH9" s="488"/>
      <c r="AI9" s="488"/>
      <c r="AJ9" s="488"/>
      <c r="AK9" s="488"/>
      <c r="AL9" s="488"/>
      <c r="AM9" s="488"/>
      <c r="AN9" s="488"/>
    </row>
    <row r="10" spans="1:40" ht="15" customHeight="1">
      <c r="A10" s="487"/>
      <c r="B10" s="487"/>
      <c r="C10" s="487"/>
      <c r="D10" s="487"/>
      <c r="E10" s="487"/>
      <c r="F10" s="487"/>
      <c r="G10" s="487"/>
      <c r="H10" s="487"/>
      <c r="I10" s="487"/>
      <c r="J10" s="143"/>
      <c r="K10" s="487"/>
      <c r="L10" s="487"/>
      <c r="M10" s="487"/>
      <c r="N10" s="487"/>
      <c r="O10" s="487"/>
      <c r="P10" s="487"/>
      <c r="Q10" s="487"/>
      <c r="R10" s="487"/>
      <c r="S10" s="143"/>
      <c r="T10" s="487"/>
      <c r="U10" s="487"/>
      <c r="V10" s="487"/>
      <c r="W10" s="487"/>
      <c r="X10" s="487"/>
      <c r="Y10" s="487"/>
      <c r="Z10" s="487"/>
      <c r="AA10" s="487"/>
      <c r="AB10" s="487"/>
      <c r="AC10" s="487"/>
      <c r="AD10" s="487"/>
      <c r="AE10" s="488"/>
      <c r="AF10" s="488"/>
      <c r="AG10" s="488"/>
      <c r="AH10" s="488"/>
      <c r="AI10" s="488"/>
      <c r="AJ10" s="488"/>
      <c r="AK10" s="488"/>
      <c r="AL10" s="488"/>
      <c r="AM10" s="488"/>
      <c r="AN10" s="488"/>
    </row>
    <row r="11" spans="1:40" ht="15" customHeight="1">
      <c r="A11" s="487"/>
      <c r="B11" s="487"/>
      <c r="C11" s="487"/>
      <c r="D11" s="487"/>
      <c r="E11" s="487"/>
      <c r="F11" s="487"/>
      <c r="G11" s="487"/>
      <c r="H11" s="487"/>
      <c r="I11" s="487"/>
      <c r="J11" s="143"/>
      <c r="K11" s="487"/>
      <c r="L11" s="487"/>
      <c r="M11" s="487"/>
      <c r="N11" s="487"/>
      <c r="O11" s="487"/>
      <c r="P11" s="487"/>
      <c r="Q11" s="487"/>
      <c r="R11" s="487"/>
      <c r="S11" s="143"/>
      <c r="T11" s="487"/>
      <c r="U11" s="487"/>
      <c r="V11" s="487"/>
      <c r="W11" s="487"/>
      <c r="X11" s="487"/>
      <c r="Y11" s="487"/>
      <c r="Z11" s="487"/>
      <c r="AA11" s="487"/>
      <c r="AB11" s="487"/>
      <c r="AC11" s="487"/>
      <c r="AD11" s="487"/>
      <c r="AE11" s="488"/>
      <c r="AF11" s="488"/>
      <c r="AG11" s="488"/>
      <c r="AH11" s="488"/>
      <c r="AI11" s="488"/>
      <c r="AJ11" s="488"/>
      <c r="AK11" s="488"/>
      <c r="AL11" s="488"/>
      <c r="AM11" s="488"/>
      <c r="AN11" s="488"/>
    </row>
    <row r="12" spans="1:40" ht="15" customHeight="1">
      <c r="A12" s="487"/>
      <c r="B12" s="487"/>
      <c r="C12" s="487"/>
      <c r="D12" s="487"/>
      <c r="E12" s="487"/>
      <c r="F12" s="487"/>
      <c r="G12" s="487"/>
      <c r="H12" s="487"/>
      <c r="I12" s="487"/>
      <c r="J12" s="143"/>
      <c r="K12" s="487"/>
      <c r="L12" s="487"/>
      <c r="M12" s="487"/>
      <c r="N12" s="487"/>
      <c r="O12" s="487"/>
      <c r="P12" s="487"/>
      <c r="Q12" s="487"/>
      <c r="R12" s="487"/>
      <c r="S12" s="143"/>
      <c r="T12" s="487"/>
      <c r="U12" s="487"/>
      <c r="V12" s="487"/>
      <c r="W12" s="487"/>
      <c r="X12" s="487"/>
      <c r="Y12" s="487"/>
      <c r="Z12" s="487"/>
      <c r="AA12" s="487"/>
      <c r="AB12" s="487"/>
      <c r="AC12" s="487"/>
      <c r="AD12" s="487"/>
      <c r="AE12" s="488"/>
      <c r="AF12" s="488"/>
      <c r="AG12" s="488"/>
      <c r="AH12" s="488"/>
      <c r="AI12" s="488"/>
      <c r="AJ12" s="488"/>
      <c r="AK12" s="488"/>
      <c r="AL12" s="488"/>
      <c r="AM12" s="488"/>
      <c r="AN12" s="488"/>
    </row>
    <row r="13" spans="1:40" ht="15" customHeight="1">
      <c r="A13" s="487"/>
      <c r="B13" s="487"/>
      <c r="C13" s="487"/>
      <c r="D13" s="487"/>
      <c r="E13" s="487"/>
      <c r="F13" s="487"/>
      <c r="G13" s="487"/>
      <c r="H13" s="487"/>
      <c r="I13" s="487"/>
      <c r="J13" s="143"/>
      <c r="K13" s="487"/>
      <c r="L13" s="487"/>
      <c r="M13" s="487"/>
      <c r="N13" s="487"/>
      <c r="O13" s="487"/>
      <c r="P13" s="487"/>
      <c r="Q13" s="487"/>
      <c r="R13" s="487"/>
      <c r="S13" s="143"/>
      <c r="T13" s="487"/>
      <c r="U13" s="487"/>
      <c r="V13" s="487"/>
      <c r="W13" s="487"/>
      <c r="X13" s="487"/>
      <c r="Y13" s="487"/>
      <c r="Z13" s="487"/>
      <c r="AA13" s="487"/>
      <c r="AB13" s="487"/>
      <c r="AC13" s="487"/>
      <c r="AD13" s="487"/>
      <c r="AE13" s="488"/>
      <c r="AF13" s="488"/>
      <c r="AG13" s="488"/>
      <c r="AH13" s="488"/>
      <c r="AI13" s="488"/>
      <c r="AJ13" s="488"/>
      <c r="AK13" s="488"/>
      <c r="AL13" s="488"/>
      <c r="AM13" s="488"/>
      <c r="AN13" s="488"/>
    </row>
    <row r="14" spans="1:40" ht="15" customHeight="1">
      <c r="A14" s="487"/>
      <c r="B14" s="487"/>
      <c r="C14" s="487"/>
      <c r="D14" s="487"/>
      <c r="E14" s="487"/>
      <c r="F14" s="487"/>
      <c r="G14" s="487"/>
      <c r="H14" s="487"/>
      <c r="I14" s="487"/>
      <c r="J14" s="143"/>
      <c r="K14" s="487"/>
      <c r="L14" s="487"/>
      <c r="M14" s="487"/>
      <c r="N14" s="487"/>
      <c r="O14" s="487"/>
      <c r="P14" s="487"/>
      <c r="Q14" s="487"/>
      <c r="R14" s="487"/>
      <c r="S14" s="143"/>
      <c r="T14" s="487"/>
      <c r="U14" s="487"/>
      <c r="V14" s="487"/>
      <c r="W14" s="487"/>
      <c r="X14" s="487"/>
      <c r="Y14" s="487"/>
      <c r="Z14" s="487"/>
      <c r="AA14" s="487"/>
      <c r="AB14" s="487"/>
      <c r="AC14" s="487"/>
      <c r="AD14" s="487"/>
      <c r="AE14" s="488"/>
      <c r="AF14" s="488"/>
      <c r="AG14" s="488"/>
      <c r="AH14" s="488"/>
      <c r="AI14" s="488"/>
      <c r="AJ14" s="488"/>
      <c r="AK14" s="488"/>
      <c r="AL14" s="488"/>
      <c r="AM14" s="488"/>
      <c r="AN14" s="488"/>
    </row>
    <row r="15" spans="1:40" ht="15" customHeight="1">
      <c r="A15" s="487"/>
      <c r="B15" s="487"/>
      <c r="C15" s="487"/>
      <c r="D15" s="487"/>
      <c r="E15" s="487"/>
      <c r="F15" s="487"/>
      <c r="G15" s="487"/>
      <c r="H15" s="487"/>
      <c r="I15" s="487"/>
      <c r="J15" s="143"/>
      <c r="K15" s="487"/>
      <c r="L15" s="487"/>
      <c r="M15" s="487"/>
      <c r="N15" s="487"/>
      <c r="O15" s="487"/>
      <c r="P15" s="487"/>
      <c r="Q15" s="487"/>
      <c r="R15" s="487"/>
      <c r="S15" s="143"/>
      <c r="T15" s="487"/>
      <c r="U15" s="487"/>
      <c r="V15" s="487"/>
      <c r="W15" s="487"/>
      <c r="X15" s="487"/>
      <c r="Y15" s="487"/>
      <c r="Z15" s="487"/>
      <c r="AA15" s="487"/>
      <c r="AB15" s="487"/>
      <c r="AC15" s="487"/>
      <c r="AD15" s="487"/>
      <c r="AE15" s="488"/>
      <c r="AF15" s="488"/>
      <c r="AG15" s="488"/>
      <c r="AH15" s="488"/>
      <c r="AI15" s="488"/>
      <c r="AJ15" s="488"/>
      <c r="AK15" s="488"/>
      <c r="AL15" s="488"/>
      <c r="AM15" s="488"/>
      <c r="AN15" s="488"/>
    </row>
    <row r="16" spans="1:40" ht="15" customHeight="1">
      <c r="A16" s="487"/>
      <c r="B16" s="487"/>
      <c r="C16" s="487"/>
      <c r="D16" s="487"/>
      <c r="E16" s="487"/>
      <c r="F16" s="487"/>
      <c r="G16" s="487"/>
      <c r="H16" s="487"/>
      <c r="I16" s="487"/>
      <c r="J16" s="143"/>
      <c r="K16" s="487"/>
      <c r="L16" s="487"/>
      <c r="M16" s="487"/>
      <c r="N16" s="487"/>
      <c r="O16" s="487"/>
      <c r="P16" s="487"/>
      <c r="Q16" s="487"/>
      <c r="R16" s="487"/>
      <c r="S16" s="143"/>
      <c r="T16" s="487"/>
      <c r="U16" s="487"/>
      <c r="V16" s="487"/>
      <c r="W16" s="487"/>
      <c r="X16" s="487"/>
      <c r="Y16" s="487"/>
      <c r="Z16" s="487"/>
      <c r="AA16" s="487"/>
      <c r="AB16" s="487"/>
      <c r="AC16" s="487"/>
      <c r="AD16" s="487"/>
      <c r="AE16" s="488"/>
      <c r="AF16" s="488"/>
      <c r="AG16" s="488"/>
      <c r="AH16" s="488"/>
      <c r="AI16" s="488"/>
      <c r="AJ16" s="488"/>
      <c r="AK16" s="488"/>
      <c r="AL16" s="488"/>
      <c r="AM16" s="488"/>
      <c r="AN16" s="488"/>
    </row>
    <row r="17" spans="1:40" ht="15" customHeight="1">
      <c r="A17" s="487"/>
      <c r="B17" s="487"/>
      <c r="C17" s="487"/>
      <c r="D17" s="487"/>
      <c r="E17" s="487"/>
      <c r="F17" s="487"/>
      <c r="G17" s="487"/>
      <c r="H17" s="487"/>
      <c r="I17" s="487"/>
      <c r="J17" s="143"/>
      <c r="K17" s="487"/>
      <c r="L17" s="487"/>
      <c r="M17" s="487"/>
      <c r="N17" s="487"/>
      <c r="O17" s="487"/>
      <c r="P17" s="487"/>
      <c r="Q17" s="487"/>
      <c r="R17" s="487"/>
      <c r="S17" s="143"/>
      <c r="T17" s="487"/>
      <c r="U17" s="487"/>
      <c r="V17" s="487"/>
      <c r="W17" s="487"/>
      <c r="X17" s="487"/>
      <c r="Y17" s="487"/>
      <c r="Z17" s="487"/>
      <c r="AA17" s="487"/>
      <c r="AB17" s="487"/>
      <c r="AC17" s="487"/>
      <c r="AD17" s="487"/>
      <c r="AE17" s="488"/>
      <c r="AF17" s="488"/>
      <c r="AG17" s="488"/>
      <c r="AH17" s="488"/>
      <c r="AI17" s="488"/>
      <c r="AJ17" s="488"/>
      <c r="AK17" s="488"/>
      <c r="AL17" s="488"/>
      <c r="AM17" s="488"/>
      <c r="AN17" s="488"/>
    </row>
    <row r="18" spans="1:40" ht="15" customHeight="1">
      <c r="A18" s="487"/>
      <c r="B18" s="487"/>
      <c r="C18" s="487"/>
      <c r="D18" s="487"/>
      <c r="E18" s="487"/>
      <c r="F18" s="487"/>
      <c r="G18" s="487"/>
      <c r="H18" s="487"/>
      <c r="I18" s="487"/>
      <c r="J18" s="143"/>
      <c r="K18" s="487"/>
      <c r="L18" s="487"/>
      <c r="M18" s="487"/>
      <c r="N18" s="487"/>
      <c r="O18" s="487"/>
      <c r="P18" s="487"/>
      <c r="Q18" s="487"/>
      <c r="R18" s="487"/>
      <c r="S18" s="143"/>
      <c r="T18" s="487"/>
      <c r="U18" s="487"/>
      <c r="V18" s="487"/>
      <c r="W18" s="487"/>
      <c r="X18" s="487"/>
      <c r="Y18" s="487"/>
      <c r="Z18" s="487"/>
      <c r="AA18" s="487"/>
      <c r="AB18" s="487"/>
      <c r="AC18" s="487"/>
      <c r="AD18" s="487"/>
      <c r="AE18" s="488"/>
      <c r="AF18" s="488"/>
      <c r="AG18" s="488"/>
      <c r="AH18" s="488"/>
      <c r="AI18" s="488"/>
      <c r="AJ18" s="488"/>
      <c r="AK18" s="488"/>
      <c r="AL18" s="488"/>
      <c r="AM18" s="488"/>
      <c r="AN18" s="488"/>
    </row>
    <row r="19" spans="1:40" ht="15" customHeight="1">
      <c r="A19" s="487"/>
      <c r="B19" s="487"/>
      <c r="C19" s="487"/>
      <c r="D19" s="487"/>
      <c r="E19" s="487"/>
      <c r="F19" s="487"/>
      <c r="G19" s="487"/>
      <c r="H19" s="487"/>
      <c r="I19" s="487"/>
      <c r="J19" s="143"/>
      <c r="K19" s="487"/>
      <c r="L19" s="487"/>
      <c r="M19" s="487"/>
      <c r="N19" s="487"/>
      <c r="O19" s="487"/>
      <c r="P19" s="487"/>
      <c r="Q19" s="487"/>
      <c r="R19" s="487"/>
      <c r="S19" s="143"/>
      <c r="T19" s="487"/>
      <c r="U19" s="487"/>
      <c r="V19" s="487"/>
      <c r="W19" s="487"/>
      <c r="X19" s="487"/>
      <c r="Y19" s="487"/>
      <c r="Z19" s="487"/>
      <c r="AA19" s="487"/>
      <c r="AB19" s="487"/>
      <c r="AC19" s="487"/>
      <c r="AD19" s="487"/>
      <c r="AE19" s="488"/>
      <c r="AF19" s="488"/>
      <c r="AG19" s="488"/>
      <c r="AH19" s="488"/>
      <c r="AI19" s="488"/>
      <c r="AJ19" s="488"/>
      <c r="AK19" s="488"/>
      <c r="AL19" s="488"/>
      <c r="AM19" s="488"/>
      <c r="AN19" s="488"/>
    </row>
    <row r="20" spans="1:40" ht="15" customHeight="1">
      <c r="A20" s="487"/>
      <c r="B20" s="487"/>
      <c r="C20" s="487"/>
      <c r="D20" s="487"/>
      <c r="E20" s="487"/>
      <c r="F20" s="487"/>
      <c r="G20" s="487"/>
      <c r="H20" s="487"/>
      <c r="I20" s="487"/>
      <c r="J20" s="143"/>
      <c r="K20" s="487"/>
      <c r="L20" s="487"/>
      <c r="M20" s="487"/>
      <c r="N20" s="487"/>
      <c r="O20" s="487"/>
      <c r="P20" s="487"/>
      <c r="Q20" s="487"/>
      <c r="R20" s="487"/>
      <c r="S20" s="143"/>
      <c r="T20" s="487"/>
      <c r="U20" s="487"/>
      <c r="V20" s="487"/>
      <c r="W20" s="487"/>
      <c r="X20" s="487"/>
      <c r="Y20" s="487"/>
      <c r="Z20" s="487"/>
      <c r="AA20" s="487"/>
      <c r="AB20" s="487"/>
      <c r="AC20" s="487"/>
      <c r="AD20" s="487"/>
      <c r="AE20" s="488"/>
      <c r="AF20" s="488"/>
      <c r="AG20" s="488"/>
      <c r="AH20" s="488"/>
      <c r="AI20" s="488"/>
      <c r="AJ20" s="488"/>
      <c r="AK20" s="488"/>
      <c r="AL20" s="488"/>
      <c r="AM20" s="488"/>
      <c r="AN20" s="488"/>
    </row>
    <row r="21" spans="1:40" ht="15" customHeight="1">
      <c r="A21" s="487"/>
      <c r="B21" s="487"/>
      <c r="C21" s="487"/>
      <c r="D21" s="487"/>
      <c r="E21" s="487"/>
      <c r="F21" s="487"/>
      <c r="G21" s="487"/>
      <c r="H21" s="487"/>
      <c r="I21" s="487"/>
      <c r="J21" s="143"/>
      <c r="K21" s="487"/>
      <c r="L21" s="487"/>
      <c r="M21" s="487"/>
      <c r="N21" s="487"/>
      <c r="O21" s="487"/>
      <c r="P21" s="487"/>
      <c r="Q21" s="487"/>
      <c r="R21" s="487"/>
      <c r="S21" s="143"/>
      <c r="T21" s="487"/>
      <c r="U21" s="487"/>
      <c r="V21" s="487"/>
      <c r="W21" s="487"/>
      <c r="X21" s="487"/>
      <c r="Y21" s="487"/>
      <c r="Z21" s="487"/>
      <c r="AA21" s="487"/>
      <c r="AB21" s="487"/>
      <c r="AC21" s="487"/>
      <c r="AD21" s="487"/>
      <c r="AE21" s="488"/>
      <c r="AF21" s="488"/>
      <c r="AG21" s="488"/>
      <c r="AH21" s="488"/>
      <c r="AI21" s="488"/>
      <c r="AJ21" s="488"/>
      <c r="AK21" s="488"/>
      <c r="AL21" s="488"/>
      <c r="AM21" s="488"/>
      <c r="AN21" s="488"/>
    </row>
    <row r="22" spans="1:40" ht="15" customHeight="1">
      <c r="A22" s="487"/>
      <c r="B22" s="487"/>
      <c r="C22" s="487"/>
      <c r="D22" s="487"/>
      <c r="E22" s="487"/>
      <c r="F22" s="487"/>
      <c r="G22" s="487"/>
      <c r="H22" s="487"/>
      <c r="I22" s="487"/>
      <c r="J22" s="143"/>
      <c r="K22" s="487"/>
      <c r="L22" s="487"/>
      <c r="M22" s="487"/>
      <c r="N22" s="487"/>
      <c r="O22" s="487"/>
      <c r="P22" s="487"/>
      <c r="Q22" s="487"/>
      <c r="R22" s="487"/>
      <c r="S22" s="143"/>
      <c r="T22" s="487"/>
      <c r="U22" s="487"/>
      <c r="V22" s="487"/>
      <c r="W22" s="487"/>
      <c r="X22" s="487"/>
      <c r="Y22" s="487"/>
      <c r="Z22" s="487"/>
      <c r="AA22" s="487"/>
      <c r="AB22" s="487"/>
      <c r="AC22" s="487"/>
      <c r="AD22" s="487"/>
      <c r="AE22" s="488"/>
      <c r="AF22" s="488"/>
      <c r="AG22" s="488"/>
      <c r="AH22" s="488"/>
      <c r="AI22" s="488"/>
      <c r="AJ22" s="488"/>
      <c r="AK22" s="488"/>
      <c r="AL22" s="488"/>
      <c r="AM22" s="488"/>
      <c r="AN22" s="488"/>
    </row>
    <row r="23" spans="1:40" ht="15" customHeight="1">
      <c r="A23" s="487"/>
      <c r="B23" s="487"/>
      <c r="C23" s="487"/>
      <c r="D23" s="487"/>
      <c r="E23" s="487"/>
      <c r="F23" s="487"/>
      <c r="G23" s="487"/>
      <c r="H23" s="487"/>
      <c r="I23" s="487"/>
      <c r="J23" s="143"/>
      <c r="K23" s="487"/>
      <c r="L23" s="487"/>
      <c r="M23" s="487"/>
      <c r="N23" s="487"/>
      <c r="O23" s="487"/>
      <c r="P23" s="487"/>
      <c r="Q23" s="487"/>
      <c r="R23" s="487"/>
      <c r="S23" s="143"/>
      <c r="T23" s="487"/>
      <c r="U23" s="487"/>
      <c r="V23" s="487"/>
      <c r="W23" s="487"/>
      <c r="X23" s="487"/>
      <c r="Y23" s="487"/>
      <c r="Z23" s="487"/>
      <c r="AA23" s="487"/>
      <c r="AB23" s="487"/>
      <c r="AC23" s="487"/>
      <c r="AD23" s="487"/>
      <c r="AE23" s="488"/>
      <c r="AF23" s="488"/>
      <c r="AG23" s="488"/>
      <c r="AH23" s="488"/>
      <c r="AI23" s="488"/>
      <c r="AJ23" s="488"/>
      <c r="AK23" s="488"/>
      <c r="AL23" s="488"/>
      <c r="AM23" s="488"/>
      <c r="AN23" s="488"/>
    </row>
    <row r="24" spans="1:40" ht="15" customHeight="1">
      <c r="A24" s="487"/>
      <c r="B24" s="487"/>
      <c r="C24" s="487"/>
      <c r="D24" s="487"/>
      <c r="E24" s="487"/>
      <c r="F24" s="487"/>
      <c r="G24" s="487"/>
      <c r="H24" s="487"/>
      <c r="I24" s="487"/>
      <c r="J24" s="143"/>
      <c r="K24" s="487"/>
      <c r="L24" s="487"/>
      <c r="M24" s="487"/>
      <c r="N24" s="487"/>
      <c r="O24" s="487"/>
      <c r="P24" s="487"/>
      <c r="Q24" s="487"/>
      <c r="R24" s="487"/>
      <c r="S24" s="143"/>
      <c r="T24" s="487"/>
      <c r="U24" s="487"/>
      <c r="V24" s="487"/>
      <c r="W24" s="487"/>
      <c r="X24" s="487"/>
      <c r="Y24" s="487"/>
      <c r="Z24" s="487"/>
      <c r="AA24" s="487"/>
      <c r="AB24" s="487"/>
      <c r="AC24" s="487"/>
      <c r="AD24" s="487"/>
      <c r="AE24" s="488"/>
      <c r="AF24" s="488"/>
      <c r="AG24" s="488"/>
      <c r="AH24" s="488"/>
      <c r="AI24" s="488"/>
      <c r="AJ24" s="488"/>
      <c r="AK24" s="488"/>
      <c r="AL24" s="488"/>
      <c r="AM24" s="488"/>
      <c r="AN24" s="488"/>
    </row>
    <row r="25" spans="1:40" ht="15" customHeight="1">
      <c r="A25" s="487"/>
      <c r="B25" s="487"/>
      <c r="C25" s="487"/>
      <c r="D25" s="487"/>
      <c r="E25" s="487"/>
      <c r="F25" s="487"/>
      <c r="G25" s="487"/>
      <c r="H25" s="487"/>
      <c r="I25" s="487"/>
      <c r="J25" s="143"/>
      <c r="K25" s="487"/>
      <c r="L25" s="487"/>
      <c r="M25" s="487"/>
      <c r="N25" s="487"/>
      <c r="O25" s="487"/>
      <c r="P25" s="487"/>
      <c r="Q25" s="487"/>
      <c r="R25" s="487"/>
      <c r="S25" s="143"/>
      <c r="T25" s="487"/>
      <c r="U25" s="487"/>
      <c r="V25" s="487"/>
      <c r="W25" s="487"/>
      <c r="X25" s="487"/>
      <c r="Y25" s="487"/>
      <c r="Z25" s="487"/>
      <c r="AA25" s="487"/>
      <c r="AB25" s="487"/>
      <c r="AC25" s="487"/>
      <c r="AD25" s="487"/>
      <c r="AE25" s="488"/>
      <c r="AF25" s="488"/>
      <c r="AG25" s="488"/>
      <c r="AH25" s="488"/>
      <c r="AI25" s="488"/>
      <c r="AJ25" s="488"/>
      <c r="AK25" s="488"/>
      <c r="AL25" s="488"/>
      <c r="AM25" s="488"/>
      <c r="AN25" s="488"/>
    </row>
    <row r="26" spans="1:40" ht="15" customHeight="1">
      <c r="A26" s="487"/>
      <c r="B26" s="487"/>
      <c r="C26" s="487"/>
      <c r="D26" s="487"/>
      <c r="E26" s="487"/>
      <c r="F26" s="487"/>
      <c r="G26" s="487"/>
      <c r="H26" s="487"/>
      <c r="I26" s="487"/>
      <c r="J26" s="143"/>
      <c r="K26" s="487"/>
      <c r="L26" s="487"/>
      <c r="M26" s="487"/>
      <c r="N26" s="487"/>
      <c r="O26" s="487"/>
      <c r="P26" s="487"/>
      <c r="Q26" s="487"/>
      <c r="R26" s="487"/>
      <c r="S26" s="143"/>
      <c r="T26" s="487"/>
      <c r="U26" s="487"/>
      <c r="V26" s="487"/>
      <c r="W26" s="487"/>
      <c r="X26" s="487"/>
      <c r="Y26" s="487"/>
      <c r="Z26" s="487"/>
      <c r="AA26" s="487"/>
      <c r="AB26" s="487"/>
      <c r="AC26" s="487"/>
      <c r="AD26" s="487"/>
      <c r="AE26" s="488"/>
      <c r="AF26" s="488"/>
      <c r="AG26" s="488"/>
      <c r="AH26" s="488"/>
      <c r="AI26" s="488"/>
      <c r="AJ26" s="488"/>
      <c r="AK26" s="488"/>
      <c r="AL26" s="488"/>
      <c r="AM26" s="488"/>
      <c r="AN26" s="488"/>
    </row>
    <row r="27" spans="1:40" ht="15" customHeight="1">
      <c r="A27" s="487"/>
      <c r="B27" s="487"/>
      <c r="C27" s="487"/>
      <c r="D27" s="487"/>
      <c r="E27" s="487"/>
      <c r="F27" s="487"/>
      <c r="G27" s="487"/>
      <c r="H27" s="487"/>
      <c r="I27" s="487"/>
      <c r="J27" s="143"/>
      <c r="K27" s="487"/>
      <c r="L27" s="487"/>
      <c r="M27" s="487"/>
      <c r="N27" s="487"/>
      <c r="O27" s="487"/>
      <c r="P27" s="487"/>
      <c r="Q27" s="487"/>
      <c r="R27" s="487"/>
      <c r="S27" s="143"/>
      <c r="T27" s="487"/>
      <c r="U27" s="487"/>
      <c r="V27" s="487"/>
      <c r="W27" s="487"/>
      <c r="X27" s="487"/>
      <c r="Y27" s="487"/>
      <c r="Z27" s="487"/>
      <c r="AA27" s="487"/>
      <c r="AB27" s="487"/>
      <c r="AC27" s="487"/>
      <c r="AD27" s="487"/>
      <c r="AE27" s="488"/>
      <c r="AF27" s="488"/>
      <c r="AG27" s="488"/>
      <c r="AH27" s="488"/>
      <c r="AI27" s="488"/>
      <c r="AJ27" s="488"/>
      <c r="AK27" s="488"/>
      <c r="AL27" s="488"/>
      <c r="AM27" s="488"/>
      <c r="AN27" s="488"/>
    </row>
    <row r="28" spans="1:40" ht="15" customHeight="1">
      <c r="A28" s="487"/>
      <c r="B28" s="487"/>
      <c r="C28" s="487"/>
      <c r="D28" s="487"/>
      <c r="E28" s="487"/>
      <c r="F28" s="487"/>
      <c r="G28" s="487"/>
      <c r="H28" s="487"/>
      <c r="I28" s="487"/>
      <c r="J28" s="143"/>
      <c r="K28" s="487"/>
      <c r="L28" s="487"/>
      <c r="M28" s="487"/>
      <c r="N28" s="487"/>
      <c r="O28" s="487"/>
      <c r="P28" s="487"/>
      <c r="Q28" s="487"/>
      <c r="R28" s="487"/>
      <c r="S28" s="143"/>
      <c r="T28" s="487"/>
      <c r="U28" s="487"/>
      <c r="V28" s="487"/>
      <c r="W28" s="487"/>
      <c r="X28" s="487"/>
      <c r="Y28" s="487"/>
      <c r="Z28" s="487"/>
      <c r="AA28" s="487"/>
      <c r="AB28" s="487"/>
      <c r="AC28" s="487"/>
      <c r="AD28" s="487"/>
      <c r="AE28" s="488"/>
      <c r="AF28" s="488"/>
      <c r="AG28" s="488"/>
      <c r="AH28" s="488"/>
      <c r="AI28" s="488"/>
      <c r="AJ28" s="488"/>
      <c r="AK28" s="488"/>
      <c r="AL28" s="488"/>
      <c r="AM28" s="488"/>
      <c r="AN28" s="488"/>
    </row>
    <row r="29" spans="1:40" ht="15" customHeight="1">
      <c r="A29" s="487"/>
      <c r="B29" s="487"/>
      <c r="C29" s="487"/>
      <c r="D29" s="487"/>
      <c r="E29" s="487"/>
      <c r="F29" s="487"/>
      <c r="G29" s="487"/>
      <c r="H29" s="487"/>
      <c r="I29" s="487"/>
      <c r="J29" s="143"/>
      <c r="K29" s="487"/>
      <c r="L29" s="487"/>
      <c r="M29" s="487"/>
      <c r="N29" s="487"/>
      <c r="O29" s="487"/>
      <c r="P29" s="487"/>
      <c r="Q29" s="487"/>
      <c r="R29" s="487"/>
      <c r="S29" s="143"/>
      <c r="T29" s="487"/>
      <c r="U29" s="487"/>
      <c r="V29" s="487"/>
      <c r="W29" s="487"/>
      <c r="X29" s="487"/>
      <c r="Y29" s="487"/>
      <c r="Z29" s="487"/>
      <c r="AA29" s="487"/>
      <c r="AB29" s="487"/>
      <c r="AC29" s="487"/>
      <c r="AD29" s="487"/>
      <c r="AE29" s="488"/>
      <c r="AF29" s="488"/>
      <c r="AG29" s="488"/>
      <c r="AH29" s="488"/>
      <c r="AI29" s="488"/>
      <c r="AJ29" s="488"/>
      <c r="AK29" s="488"/>
      <c r="AL29" s="488"/>
      <c r="AM29" s="488"/>
      <c r="AN29" s="488"/>
    </row>
    <row r="30" spans="1:40" ht="15" customHeight="1">
      <c r="A30" s="487"/>
      <c r="B30" s="487"/>
      <c r="C30" s="487"/>
      <c r="D30" s="487"/>
      <c r="E30" s="487"/>
      <c r="F30" s="487"/>
      <c r="G30" s="487"/>
      <c r="H30" s="487"/>
      <c r="I30" s="487"/>
      <c r="J30" s="143"/>
      <c r="K30" s="487"/>
      <c r="L30" s="487"/>
      <c r="M30" s="487"/>
      <c r="N30" s="487"/>
      <c r="O30" s="487"/>
      <c r="P30" s="487"/>
      <c r="Q30" s="487"/>
      <c r="R30" s="487"/>
      <c r="S30" s="143"/>
      <c r="T30" s="487"/>
      <c r="U30" s="487"/>
      <c r="V30" s="487"/>
      <c r="W30" s="487"/>
      <c r="X30" s="487"/>
      <c r="Y30" s="487"/>
      <c r="Z30" s="487"/>
      <c r="AA30" s="487"/>
      <c r="AB30" s="487"/>
      <c r="AC30" s="487"/>
      <c r="AD30" s="487"/>
      <c r="AE30" s="488"/>
      <c r="AF30" s="488"/>
      <c r="AG30" s="488"/>
      <c r="AH30" s="488"/>
      <c r="AI30" s="488"/>
      <c r="AJ30" s="488"/>
      <c r="AK30" s="488"/>
      <c r="AL30" s="488"/>
      <c r="AM30" s="488"/>
      <c r="AN30" s="488"/>
    </row>
    <row r="31" spans="1:40" ht="15" customHeight="1">
      <c r="A31" s="487"/>
      <c r="B31" s="487"/>
      <c r="C31" s="487"/>
      <c r="D31" s="487"/>
      <c r="E31" s="487"/>
      <c r="F31" s="487"/>
      <c r="G31" s="487"/>
      <c r="H31" s="487"/>
      <c r="I31" s="487"/>
      <c r="J31" s="143"/>
      <c r="K31" s="487"/>
      <c r="L31" s="487"/>
      <c r="M31" s="487"/>
      <c r="N31" s="487"/>
      <c r="O31" s="487"/>
      <c r="P31" s="487"/>
      <c r="Q31" s="487"/>
      <c r="R31" s="487"/>
      <c r="S31" s="143"/>
      <c r="T31" s="487"/>
      <c r="U31" s="487"/>
      <c r="V31" s="487"/>
      <c r="W31" s="487"/>
      <c r="X31" s="487"/>
      <c r="Y31" s="487"/>
      <c r="Z31" s="487"/>
      <c r="AA31" s="487"/>
      <c r="AB31" s="487"/>
      <c r="AC31" s="487"/>
      <c r="AD31" s="487"/>
      <c r="AE31" s="488"/>
      <c r="AF31" s="488"/>
      <c r="AG31" s="488"/>
      <c r="AH31" s="488"/>
      <c r="AI31" s="488"/>
      <c r="AJ31" s="488"/>
      <c r="AK31" s="488"/>
      <c r="AL31" s="488"/>
      <c r="AM31" s="488"/>
      <c r="AN31" s="488"/>
    </row>
    <row r="32" spans="1:40" ht="15.95" customHeight="1">
      <c r="A32" s="487"/>
      <c r="B32" s="487"/>
      <c r="C32" s="487"/>
      <c r="D32" s="487"/>
      <c r="E32" s="487"/>
      <c r="F32" s="487"/>
      <c r="G32" s="487"/>
      <c r="H32" s="487"/>
      <c r="I32" s="487"/>
      <c r="J32" s="143"/>
      <c r="K32" s="487"/>
      <c r="L32" s="487"/>
      <c r="M32" s="487"/>
      <c r="N32" s="487"/>
      <c r="O32" s="487"/>
      <c r="P32" s="487"/>
      <c r="Q32" s="487"/>
      <c r="R32" s="487"/>
      <c r="S32" s="143"/>
      <c r="T32" s="487"/>
      <c r="U32" s="487"/>
      <c r="V32" s="487"/>
      <c r="W32" s="487"/>
      <c r="X32" s="487"/>
      <c r="Y32" s="487"/>
      <c r="Z32" s="487"/>
      <c r="AA32" s="487"/>
      <c r="AB32" s="487"/>
      <c r="AC32" s="487"/>
      <c r="AD32" s="487"/>
      <c r="AE32" s="488"/>
      <c r="AF32" s="488"/>
      <c r="AG32" s="488"/>
      <c r="AH32" s="488"/>
      <c r="AI32" s="488"/>
      <c r="AJ32" s="488"/>
      <c r="AK32" s="488"/>
      <c r="AL32" s="488"/>
      <c r="AM32" s="488"/>
      <c r="AN32" s="488"/>
    </row>
    <row r="33" spans="1:40" ht="15.95" customHeight="1">
      <c r="A33" s="487"/>
      <c r="B33" s="487"/>
      <c r="C33" s="487"/>
      <c r="D33" s="487"/>
      <c r="E33" s="487"/>
      <c r="F33" s="487"/>
      <c r="G33" s="487"/>
      <c r="H33" s="487"/>
      <c r="I33" s="487"/>
      <c r="J33" s="143"/>
      <c r="K33" s="487"/>
      <c r="L33" s="487"/>
      <c r="M33" s="487"/>
      <c r="N33" s="487"/>
      <c r="O33" s="487"/>
      <c r="P33" s="487"/>
      <c r="Q33" s="487"/>
      <c r="R33" s="487"/>
      <c r="S33" s="143"/>
      <c r="T33" s="487"/>
      <c r="U33" s="487"/>
      <c r="V33" s="487"/>
      <c r="W33" s="487"/>
      <c r="X33" s="487"/>
      <c r="Y33" s="487"/>
      <c r="Z33" s="487"/>
      <c r="AA33" s="487"/>
      <c r="AB33" s="487"/>
      <c r="AC33" s="487"/>
      <c r="AD33" s="487"/>
      <c r="AE33" s="488"/>
      <c r="AF33" s="488"/>
      <c r="AG33" s="488"/>
      <c r="AH33" s="488"/>
      <c r="AI33" s="488"/>
      <c r="AJ33" s="488"/>
      <c r="AK33" s="488"/>
      <c r="AL33" s="488"/>
      <c r="AM33" s="488"/>
      <c r="AN33" s="488"/>
    </row>
    <row r="34" spans="1:40" ht="15.95" customHeight="1">
      <c r="A34" s="487"/>
      <c r="B34" s="487"/>
      <c r="C34" s="487"/>
      <c r="D34" s="487"/>
      <c r="E34" s="487"/>
      <c r="F34" s="487"/>
      <c r="G34" s="487"/>
      <c r="H34" s="487"/>
      <c r="I34" s="487"/>
      <c r="J34" s="143"/>
      <c r="K34" s="487"/>
      <c r="L34" s="487"/>
      <c r="M34" s="487"/>
      <c r="N34" s="487"/>
      <c r="O34" s="487"/>
      <c r="P34" s="487"/>
      <c r="Q34" s="487"/>
      <c r="R34" s="487"/>
      <c r="S34" s="143"/>
      <c r="T34" s="487"/>
      <c r="U34" s="487"/>
      <c r="V34" s="487"/>
      <c r="W34" s="487"/>
      <c r="X34" s="487"/>
      <c r="Y34" s="487"/>
      <c r="Z34" s="487"/>
      <c r="AA34" s="487"/>
      <c r="AB34" s="487"/>
      <c r="AC34" s="487"/>
      <c r="AD34" s="487"/>
      <c r="AE34" s="488"/>
      <c r="AF34" s="488"/>
      <c r="AG34" s="488"/>
      <c r="AH34" s="488"/>
      <c r="AI34" s="488"/>
      <c r="AJ34" s="488"/>
      <c r="AK34" s="488"/>
      <c r="AL34" s="488"/>
      <c r="AM34" s="488"/>
      <c r="AN34" s="488"/>
    </row>
    <row r="35" spans="1:40" ht="15.95" customHeight="1">
      <c r="A35" s="487"/>
      <c r="B35" s="487"/>
      <c r="C35" s="487"/>
      <c r="D35" s="487"/>
      <c r="E35" s="487"/>
      <c r="F35" s="487"/>
      <c r="G35" s="487"/>
      <c r="H35" s="487"/>
      <c r="I35" s="487"/>
      <c r="J35" s="143"/>
      <c r="K35" s="487"/>
      <c r="L35" s="487"/>
      <c r="M35" s="487"/>
      <c r="N35" s="487"/>
      <c r="O35" s="487"/>
      <c r="P35" s="487"/>
      <c r="Q35" s="487"/>
      <c r="R35" s="487"/>
      <c r="S35" s="143"/>
      <c r="T35" s="487"/>
      <c r="U35" s="487"/>
      <c r="V35" s="487"/>
      <c r="W35" s="487"/>
      <c r="X35" s="487"/>
      <c r="Y35" s="487"/>
      <c r="Z35" s="487"/>
      <c r="AA35" s="487"/>
      <c r="AB35" s="487"/>
      <c r="AC35" s="487"/>
      <c r="AD35" s="487"/>
      <c r="AE35" s="488"/>
      <c r="AF35" s="488"/>
      <c r="AG35" s="488"/>
      <c r="AH35" s="488"/>
      <c r="AI35" s="488"/>
      <c r="AJ35" s="488"/>
      <c r="AK35" s="488"/>
      <c r="AL35" s="488"/>
      <c r="AM35" s="488"/>
      <c r="AN35" s="488"/>
    </row>
    <row r="36" spans="1:40" ht="15.95" customHeight="1">
      <c r="A36" s="487"/>
      <c r="B36" s="487"/>
      <c r="C36" s="487"/>
      <c r="D36" s="487"/>
      <c r="E36" s="487"/>
      <c r="F36" s="487"/>
      <c r="G36" s="487"/>
      <c r="H36" s="487"/>
      <c r="I36" s="487"/>
      <c r="J36" s="143"/>
      <c r="K36" s="487"/>
      <c r="L36" s="487"/>
      <c r="M36" s="487"/>
      <c r="N36" s="487"/>
      <c r="O36" s="487"/>
      <c r="P36" s="487"/>
      <c r="Q36" s="487"/>
      <c r="R36" s="487"/>
      <c r="S36" s="143"/>
      <c r="T36" s="487"/>
      <c r="U36" s="487"/>
      <c r="V36" s="487"/>
      <c r="W36" s="487"/>
      <c r="X36" s="487"/>
      <c r="Y36" s="487"/>
      <c r="Z36" s="487"/>
      <c r="AA36" s="487"/>
      <c r="AB36" s="487"/>
      <c r="AC36" s="487"/>
      <c r="AD36" s="487"/>
      <c r="AE36" s="488"/>
      <c r="AF36" s="488"/>
      <c r="AG36" s="488"/>
      <c r="AH36" s="488"/>
      <c r="AI36" s="488"/>
      <c r="AJ36" s="488"/>
      <c r="AK36" s="488"/>
      <c r="AL36" s="488"/>
      <c r="AM36" s="488"/>
      <c r="AN36" s="488"/>
    </row>
    <row r="56" spans="1:40" ht="15" customHeight="1">
      <c r="A56" s="488" t="s">
        <v>87</v>
      </c>
      <c r="B56" s="488"/>
      <c r="C56" s="488"/>
      <c r="D56" s="488"/>
      <c r="E56" s="488"/>
      <c r="F56" s="488"/>
      <c r="G56" s="488"/>
      <c r="H56" s="488"/>
      <c r="I56" s="488"/>
      <c r="J56" s="488"/>
      <c r="K56" s="488" t="s">
        <v>88</v>
      </c>
      <c r="L56" s="488"/>
      <c r="M56" s="488"/>
      <c r="N56" s="488"/>
      <c r="O56" s="488"/>
      <c r="P56" s="488"/>
      <c r="Q56" s="488"/>
      <c r="R56" s="488"/>
      <c r="S56" s="488"/>
      <c r="T56" s="488"/>
      <c r="U56" s="488" t="s">
        <v>89</v>
      </c>
      <c r="V56" s="487"/>
      <c r="W56" s="487"/>
      <c r="X56" s="487"/>
      <c r="Y56" s="487"/>
      <c r="Z56" s="487"/>
      <c r="AA56" s="487"/>
      <c r="AB56" s="487"/>
      <c r="AC56" s="487"/>
      <c r="AE56" s="488" t="s">
        <v>90</v>
      </c>
      <c r="AF56" s="488"/>
      <c r="AG56" s="488"/>
      <c r="AH56" s="488"/>
      <c r="AI56" s="488"/>
      <c r="AJ56" s="488"/>
      <c r="AK56" s="488"/>
      <c r="AL56" s="488"/>
      <c r="AM56" s="488"/>
      <c r="AN56" s="488"/>
    </row>
    <row r="57" spans="1:40" ht="15" customHeight="1">
      <c r="A57" s="488"/>
      <c r="B57" s="488"/>
      <c r="C57" s="488"/>
      <c r="D57" s="488"/>
      <c r="E57" s="488"/>
      <c r="F57" s="488"/>
      <c r="G57" s="488"/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7"/>
      <c r="V57" s="487"/>
      <c r="W57" s="487"/>
      <c r="X57" s="487"/>
      <c r="Y57" s="487"/>
      <c r="Z57" s="487"/>
      <c r="AA57" s="487"/>
      <c r="AB57" s="487"/>
      <c r="AC57" s="487"/>
      <c r="AE57" s="488"/>
      <c r="AF57" s="488"/>
      <c r="AG57" s="488"/>
      <c r="AH57" s="488"/>
      <c r="AI57" s="488"/>
      <c r="AJ57" s="488"/>
      <c r="AK57" s="488"/>
      <c r="AL57" s="488"/>
      <c r="AM57" s="488"/>
      <c r="AN57" s="488"/>
    </row>
    <row r="58" spans="1:40" ht="15" customHeight="1">
      <c r="A58" s="488"/>
      <c r="B58" s="488"/>
      <c r="C58" s="488"/>
      <c r="D58" s="488"/>
      <c r="E58" s="488"/>
      <c r="F58" s="488"/>
      <c r="G58" s="488"/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7"/>
      <c r="V58" s="487"/>
      <c r="W58" s="487"/>
      <c r="X58" s="487"/>
      <c r="Y58" s="487"/>
      <c r="Z58" s="487"/>
      <c r="AA58" s="487"/>
      <c r="AB58" s="487"/>
      <c r="AC58" s="487"/>
      <c r="AE58" s="488"/>
      <c r="AF58" s="488"/>
      <c r="AG58" s="488"/>
      <c r="AH58" s="488"/>
      <c r="AI58" s="488"/>
      <c r="AJ58" s="488"/>
      <c r="AK58" s="488"/>
      <c r="AL58" s="488"/>
      <c r="AM58" s="488"/>
      <c r="AN58" s="488"/>
    </row>
    <row r="59" spans="1:40" ht="15" customHeight="1">
      <c r="A59" s="488"/>
      <c r="B59" s="488"/>
      <c r="C59" s="488"/>
      <c r="D59" s="488"/>
      <c r="E59" s="488"/>
      <c r="F59" s="488"/>
      <c r="G59" s="488"/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7"/>
      <c r="V59" s="487"/>
      <c r="W59" s="487"/>
      <c r="X59" s="487"/>
      <c r="Y59" s="487"/>
      <c r="Z59" s="487"/>
      <c r="AA59" s="487"/>
      <c r="AB59" s="487"/>
      <c r="AC59" s="487"/>
      <c r="AE59" s="488"/>
      <c r="AF59" s="488"/>
      <c r="AG59" s="488"/>
      <c r="AH59" s="488"/>
      <c r="AI59" s="488"/>
      <c r="AJ59" s="488"/>
      <c r="AK59" s="488"/>
      <c r="AL59" s="488"/>
      <c r="AM59" s="488"/>
      <c r="AN59" s="488"/>
    </row>
    <row r="60" spans="1:40" ht="15" customHeight="1">
      <c r="A60" s="488"/>
      <c r="B60" s="488"/>
      <c r="C60" s="488"/>
      <c r="D60" s="488"/>
      <c r="E60" s="488"/>
      <c r="F60" s="488"/>
      <c r="G60" s="488"/>
      <c r="H60" s="488"/>
      <c r="I60" s="488"/>
      <c r="J60" s="488"/>
      <c r="K60" s="488"/>
      <c r="L60" s="488"/>
      <c r="M60" s="488"/>
      <c r="N60" s="488"/>
      <c r="O60" s="488"/>
      <c r="P60" s="488"/>
      <c r="Q60" s="488"/>
      <c r="R60" s="488"/>
      <c r="S60" s="488"/>
      <c r="T60" s="488"/>
      <c r="U60" s="487"/>
      <c r="V60" s="487"/>
      <c r="W60" s="487"/>
      <c r="X60" s="487"/>
      <c r="Y60" s="487"/>
      <c r="Z60" s="487"/>
      <c r="AA60" s="487"/>
      <c r="AB60" s="487"/>
      <c r="AC60" s="487"/>
      <c r="AE60" s="488"/>
      <c r="AF60" s="488"/>
      <c r="AG60" s="488"/>
      <c r="AH60" s="488"/>
      <c r="AI60" s="488"/>
      <c r="AJ60" s="488"/>
      <c r="AK60" s="488"/>
      <c r="AL60" s="488"/>
      <c r="AM60" s="488"/>
      <c r="AN60" s="488"/>
    </row>
    <row r="61" spans="1:40" ht="15" customHeight="1">
      <c r="A61" s="488"/>
      <c r="B61" s="488"/>
      <c r="C61" s="488"/>
      <c r="D61" s="488"/>
      <c r="E61" s="488"/>
      <c r="F61" s="488"/>
      <c r="G61" s="488"/>
      <c r="H61" s="488"/>
      <c r="I61" s="488"/>
      <c r="J61" s="488"/>
      <c r="K61" s="488"/>
      <c r="L61" s="488"/>
      <c r="M61" s="488"/>
      <c r="N61" s="488"/>
      <c r="O61" s="488"/>
      <c r="P61" s="488"/>
      <c r="Q61" s="488"/>
      <c r="R61" s="488"/>
      <c r="S61" s="488"/>
      <c r="T61" s="488"/>
      <c r="U61" s="487"/>
      <c r="V61" s="487"/>
      <c r="W61" s="487"/>
      <c r="X61" s="487"/>
      <c r="Y61" s="487"/>
      <c r="Z61" s="487"/>
      <c r="AA61" s="487"/>
      <c r="AB61" s="487"/>
      <c r="AC61" s="487"/>
      <c r="AE61" s="488"/>
      <c r="AF61" s="488"/>
      <c r="AG61" s="488"/>
      <c r="AH61" s="488"/>
      <c r="AI61" s="488"/>
      <c r="AJ61" s="488"/>
      <c r="AK61" s="488"/>
      <c r="AL61" s="488"/>
      <c r="AM61" s="488"/>
      <c r="AN61" s="488"/>
    </row>
    <row r="62" spans="1:40" ht="15" customHeight="1">
      <c r="A62" s="488"/>
      <c r="B62" s="488"/>
      <c r="C62" s="488"/>
      <c r="D62" s="488"/>
      <c r="E62" s="488"/>
      <c r="F62" s="488"/>
      <c r="G62" s="488"/>
      <c r="H62" s="488"/>
      <c r="I62" s="488"/>
      <c r="J62" s="488"/>
      <c r="K62" s="488"/>
      <c r="L62" s="488"/>
      <c r="M62" s="488"/>
      <c r="N62" s="488"/>
      <c r="O62" s="488"/>
      <c r="P62" s="488"/>
      <c r="Q62" s="488"/>
      <c r="R62" s="488"/>
      <c r="S62" s="488"/>
      <c r="T62" s="488"/>
      <c r="U62" s="487"/>
      <c r="V62" s="487"/>
      <c r="W62" s="487"/>
      <c r="X62" s="487"/>
      <c r="Y62" s="487"/>
      <c r="Z62" s="487"/>
      <c r="AA62" s="487"/>
      <c r="AB62" s="487"/>
      <c r="AC62" s="487"/>
      <c r="AE62" s="488"/>
      <c r="AF62" s="488"/>
      <c r="AG62" s="488"/>
      <c r="AH62" s="488"/>
      <c r="AI62" s="488"/>
      <c r="AJ62" s="488"/>
      <c r="AK62" s="488"/>
      <c r="AL62" s="488"/>
      <c r="AM62" s="488"/>
      <c r="AN62" s="488"/>
    </row>
    <row r="63" spans="1:40" ht="15" customHeight="1">
      <c r="A63" s="488"/>
      <c r="B63" s="488"/>
      <c r="C63" s="488"/>
      <c r="D63" s="488"/>
      <c r="E63" s="488"/>
      <c r="F63" s="488"/>
      <c r="G63" s="488"/>
      <c r="H63" s="488"/>
      <c r="I63" s="488"/>
      <c r="J63" s="488"/>
      <c r="K63" s="488"/>
      <c r="L63" s="488"/>
      <c r="M63" s="488"/>
      <c r="N63" s="488"/>
      <c r="O63" s="488"/>
      <c r="P63" s="488"/>
      <c r="Q63" s="488"/>
      <c r="R63" s="488"/>
      <c r="S63" s="488"/>
      <c r="T63" s="488"/>
      <c r="U63" s="487"/>
      <c r="V63" s="487"/>
      <c r="W63" s="487"/>
      <c r="X63" s="487"/>
      <c r="Y63" s="487"/>
      <c r="Z63" s="487"/>
      <c r="AA63" s="487"/>
      <c r="AB63" s="487"/>
      <c r="AC63" s="487"/>
      <c r="AE63" s="488"/>
      <c r="AF63" s="488"/>
      <c r="AG63" s="488"/>
      <c r="AH63" s="488"/>
      <c r="AI63" s="488"/>
      <c r="AJ63" s="488"/>
      <c r="AK63" s="488"/>
      <c r="AL63" s="488"/>
      <c r="AM63" s="488"/>
      <c r="AN63" s="488"/>
    </row>
    <row r="64" spans="1:40" ht="15" customHeight="1">
      <c r="A64" s="488"/>
      <c r="B64" s="488"/>
      <c r="C64" s="488"/>
      <c r="D64" s="488"/>
      <c r="E64" s="488"/>
      <c r="F64" s="488"/>
      <c r="G64" s="488"/>
      <c r="H64" s="488"/>
      <c r="I64" s="488"/>
      <c r="J64" s="488"/>
      <c r="K64" s="488"/>
      <c r="L64" s="488"/>
      <c r="M64" s="488"/>
      <c r="N64" s="488"/>
      <c r="O64" s="488"/>
      <c r="P64" s="488"/>
      <c r="Q64" s="488"/>
      <c r="R64" s="488"/>
      <c r="S64" s="488"/>
      <c r="T64" s="488"/>
      <c r="U64" s="487"/>
      <c r="V64" s="487"/>
      <c r="W64" s="487"/>
      <c r="X64" s="487"/>
      <c r="Y64" s="487"/>
      <c r="Z64" s="487"/>
      <c r="AA64" s="487"/>
      <c r="AB64" s="487"/>
      <c r="AC64" s="487"/>
      <c r="AE64" s="488"/>
      <c r="AF64" s="488"/>
      <c r="AG64" s="488"/>
      <c r="AH64" s="488"/>
      <c r="AI64" s="488"/>
      <c r="AJ64" s="488"/>
      <c r="AK64" s="488"/>
      <c r="AL64" s="488"/>
      <c r="AM64" s="488"/>
      <c r="AN64" s="488"/>
    </row>
    <row r="65" spans="1:40" ht="15" customHeight="1">
      <c r="A65" s="488"/>
      <c r="B65" s="488"/>
      <c r="C65" s="488"/>
      <c r="D65" s="488"/>
      <c r="E65" s="488"/>
      <c r="F65" s="488"/>
      <c r="G65" s="488"/>
      <c r="H65" s="488"/>
      <c r="I65" s="488"/>
      <c r="J65" s="488"/>
      <c r="K65" s="488"/>
      <c r="L65" s="488"/>
      <c r="M65" s="488"/>
      <c r="N65" s="488"/>
      <c r="O65" s="488"/>
      <c r="P65" s="488"/>
      <c r="Q65" s="488"/>
      <c r="R65" s="488"/>
      <c r="S65" s="488"/>
      <c r="T65" s="488"/>
      <c r="U65" s="487"/>
      <c r="V65" s="487"/>
      <c r="W65" s="487"/>
      <c r="X65" s="487"/>
      <c r="Y65" s="487"/>
      <c r="Z65" s="487"/>
      <c r="AA65" s="487"/>
      <c r="AB65" s="487"/>
      <c r="AC65" s="487"/>
      <c r="AE65" s="488"/>
      <c r="AF65" s="488"/>
      <c r="AG65" s="488"/>
      <c r="AH65" s="488"/>
      <c r="AI65" s="488"/>
      <c r="AJ65" s="488"/>
      <c r="AK65" s="488"/>
      <c r="AL65" s="488"/>
      <c r="AM65" s="488"/>
      <c r="AN65" s="488"/>
    </row>
    <row r="66" spans="1:40" ht="15" customHeight="1">
      <c r="A66" s="488"/>
      <c r="B66" s="488"/>
      <c r="C66" s="488"/>
      <c r="D66" s="488"/>
      <c r="E66" s="488"/>
      <c r="F66" s="488"/>
      <c r="G66" s="488"/>
      <c r="H66" s="488"/>
      <c r="I66" s="488"/>
      <c r="J66" s="488"/>
      <c r="K66" s="488"/>
      <c r="L66" s="488"/>
      <c r="M66" s="488"/>
      <c r="N66" s="488"/>
      <c r="O66" s="488"/>
      <c r="P66" s="488"/>
      <c r="Q66" s="488"/>
      <c r="R66" s="488"/>
      <c r="S66" s="488"/>
      <c r="T66" s="488"/>
      <c r="U66" s="487"/>
      <c r="V66" s="487"/>
      <c r="W66" s="487"/>
      <c r="X66" s="487"/>
      <c r="Y66" s="487"/>
      <c r="Z66" s="487"/>
      <c r="AA66" s="487"/>
      <c r="AB66" s="487"/>
      <c r="AC66" s="487"/>
      <c r="AE66" s="488"/>
      <c r="AF66" s="488"/>
      <c r="AG66" s="488"/>
      <c r="AH66" s="488"/>
      <c r="AI66" s="488"/>
      <c r="AJ66" s="488"/>
      <c r="AK66" s="488"/>
      <c r="AL66" s="488"/>
      <c r="AM66" s="488"/>
      <c r="AN66" s="488"/>
    </row>
    <row r="67" spans="1:40" ht="15" customHeight="1">
      <c r="A67" s="488"/>
      <c r="B67" s="488"/>
      <c r="C67" s="488"/>
      <c r="D67" s="488"/>
      <c r="E67" s="488"/>
      <c r="F67" s="488"/>
      <c r="G67" s="488"/>
      <c r="H67" s="488"/>
      <c r="I67" s="488"/>
      <c r="J67" s="488"/>
      <c r="K67" s="488"/>
      <c r="L67" s="488"/>
      <c r="M67" s="488"/>
      <c r="N67" s="488"/>
      <c r="O67" s="488"/>
      <c r="P67" s="488"/>
      <c r="Q67" s="488"/>
      <c r="R67" s="488"/>
      <c r="S67" s="488"/>
      <c r="T67" s="488"/>
      <c r="U67" s="487"/>
      <c r="V67" s="487"/>
      <c r="W67" s="487"/>
      <c r="X67" s="487"/>
      <c r="Y67" s="487"/>
      <c r="Z67" s="487"/>
      <c r="AA67" s="487"/>
      <c r="AB67" s="487"/>
      <c r="AC67" s="487"/>
      <c r="AE67" s="488"/>
      <c r="AF67" s="488"/>
      <c r="AG67" s="488"/>
      <c r="AH67" s="488"/>
      <c r="AI67" s="488"/>
      <c r="AJ67" s="488"/>
      <c r="AK67" s="488"/>
      <c r="AL67" s="488"/>
      <c r="AM67" s="488"/>
      <c r="AN67" s="488"/>
    </row>
    <row r="68" spans="1:40" ht="15" customHeight="1">
      <c r="A68" s="488"/>
      <c r="B68" s="488"/>
      <c r="C68" s="488"/>
      <c r="D68" s="488"/>
      <c r="E68" s="488"/>
      <c r="F68" s="488"/>
      <c r="G68" s="488"/>
      <c r="H68" s="488"/>
      <c r="I68" s="488"/>
      <c r="J68" s="488"/>
      <c r="K68" s="488"/>
      <c r="L68" s="488"/>
      <c r="M68" s="488"/>
      <c r="N68" s="488"/>
      <c r="O68" s="488"/>
      <c r="P68" s="488"/>
      <c r="Q68" s="488"/>
      <c r="R68" s="488"/>
      <c r="S68" s="488"/>
      <c r="T68" s="488"/>
      <c r="U68" s="487"/>
      <c r="V68" s="487"/>
      <c r="W68" s="487"/>
      <c r="X68" s="487"/>
      <c r="Y68" s="487"/>
      <c r="Z68" s="487"/>
      <c r="AA68" s="487"/>
      <c r="AB68" s="487"/>
      <c r="AC68" s="487"/>
      <c r="AE68" s="488"/>
      <c r="AF68" s="488"/>
      <c r="AG68" s="488"/>
      <c r="AH68" s="488"/>
      <c r="AI68" s="488"/>
      <c r="AJ68" s="488"/>
      <c r="AK68" s="488"/>
      <c r="AL68" s="488"/>
      <c r="AM68" s="488"/>
      <c r="AN68" s="488"/>
    </row>
    <row r="69" spans="1:40" ht="15" customHeight="1">
      <c r="A69" s="488"/>
      <c r="B69" s="488"/>
      <c r="C69" s="488"/>
      <c r="D69" s="488"/>
      <c r="E69" s="488"/>
      <c r="F69" s="488"/>
      <c r="G69" s="488"/>
      <c r="H69" s="488"/>
      <c r="I69" s="488"/>
      <c r="J69" s="488"/>
      <c r="K69" s="488"/>
      <c r="L69" s="488"/>
      <c r="M69" s="488"/>
      <c r="N69" s="488"/>
      <c r="O69" s="488"/>
      <c r="P69" s="488"/>
      <c r="Q69" s="488"/>
      <c r="R69" s="488"/>
      <c r="S69" s="488"/>
      <c r="T69" s="488"/>
      <c r="U69" s="487"/>
      <c r="V69" s="487"/>
      <c r="W69" s="487"/>
      <c r="X69" s="487"/>
      <c r="Y69" s="487"/>
      <c r="Z69" s="487"/>
      <c r="AA69" s="487"/>
      <c r="AB69" s="487"/>
      <c r="AC69" s="487"/>
      <c r="AE69" s="488"/>
      <c r="AF69" s="488"/>
      <c r="AG69" s="488"/>
      <c r="AH69" s="488"/>
      <c r="AI69" s="488"/>
      <c r="AJ69" s="488"/>
      <c r="AK69" s="488"/>
      <c r="AL69" s="488"/>
      <c r="AM69" s="488"/>
      <c r="AN69" s="488"/>
    </row>
    <row r="70" spans="1:40" ht="15" customHeight="1">
      <c r="A70" s="488"/>
      <c r="B70" s="488"/>
      <c r="C70" s="488"/>
      <c r="D70" s="488"/>
      <c r="E70" s="488"/>
      <c r="F70" s="488"/>
      <c r="G70" s="488"/>
      <c r="H70" s="488"/>
      <c r="I70" s="488"/>
      <c r="J70" s="488"/>
      <c r="K70" s="488"/>
      <c r="L70" s="488"/>
      <c r="M70" s="488"/>
      <c r="N70" s="488"/>
      <c r="O70" s="488"/>
      <c r="P70" s="488"/>
      <c r="Q70" s="488"/>
      <c r="R70" s="488"/>
      <c r="S70" s="488"/>
      <c r="T70" s="488"/>
      <c r="U70" s="487"/>
      <c r="V70" s="487"/>
      <c r="W70" s="487"/>
      <c r="X70" s="487"/>
      <c r="Y70" s="487"/>
      <c r="Z70" s="487"/>
      <c r="AA70" s="487"/>
      <c r="AB70" s="487"/>
      <c r="AC70" s="487"/>
      <c r="AE70" s="488"/>
      <c r="AF70" s="488"/>
      <c r="AG70" s="488"/>
      <c r="AH70" s="488"/>
      <c r="AI70" s="488"/>
      <c r="AJ70" s="488"/>
      <c r="AK70" s="488"/>
      <c r="AL70" s="488"/>
      <c r="AM70" s="488"/>
      <c r="AN70" s="488"/>
    </row>
    <row r="71" spans="1:40" ht="15" customHeight="1">
      <c r="A71" s="488"/>
      <c r="B71" s="488"/>
      <c r="C71" s="488"/>
      <c r="D71" s="488"/>
      <c r="E71" s="488"/>
      <c r="F71" s="488"/>
      <c r="G71" s="488"/>
      <c r="H71" s="488"/>
      <c r="I71" s="488"/>
      <c r="J71" s="488"/>
      <c r="K71" s="488"/>
      <c r="L71" s="488"/>
      <c r="M71" s="488"/>
      <c r="N71" s="488"/>
      <c r="O71" s="488"/>
      <c r="P71" s="488"/>
      <c r="Q71" s="488"/>
      <c r="R71" s="488"/>
      <c r="S71" s="488"/>
      <c r="T71" s="488"/>
      <c r="U71" s="487"/>
      <c r="V71" s="487"/>
      <c r="W71" s="487"/>
      <c r="X71" s="487"/>
      <c r="Y71" s="487"/>
      <c r="Z71" s="487"/>
      <c r="AA71" s="487"/>
      <c r="AB71" s="487"/>
      <c r="AC71" s="487"/>
      <c r="AE71" s="488"/>
      <c r="AF71" s="488"/>
      <c r="AG71" s="488"/>
      <c r="AH71" s="488"/>
      <c r="AI71" s="488"/>
      <c r="AJ71" s="488"/>
      <c r="AK71" s="488"/>
      <c r="AL71" s="488"/>
      <c r="AM71" s="488"/>
      <c r="AN71" s="488"/>
    </row>
    <row r="72" spans="1:40" ht="15" customHeight="1">
      <c r="A72" s="488"/>
      <c r="B72" s="488"/>
      <c r="C72" s="488"/>
      <c r="D72" s="488"/>
      <c r="E72" s="488"/>
      <c r="F72" s="488"/>
      <c r="G72" s="488"/>
      <c r="H72" s="488"/>
      <c r="I72" s="488"/>
      <c r="J72" s="488"/>
      <c r="K72" s="488"/>
      <c r="L72" s="488"/>
      <c r="M72" s="488"/>
      <c r="N72" s="488"/>
      <c r="O72" s="488"/>
      <c r="P72" s="488"/>
      <c r="Q72" s="488"/>
      <c r="R72" s="488"/>
      <c r="S72" s="488"/>
      <c r="T72" s="488"/>
      <c r="U72" s="487"/>
      <c r="V72" s="487"/>
      <c r="W72" s="487"/>
      <c r="X72" s="487"/>
      <c r="Y72" s="487"/>
      <c r="Z72" s="487"/>
      <c r="AA72" s="487"/>
      <c r="AB72" s="487"/>
      <c r="AC72" s="487"/>
      <c r="AE72" s="488"/>
      <c r="AF72" s="488"/>
      <c r="AG72" s="488"/>
      <c r="AH72" s="488"/>
      <c r="AI72" s="488"/>
      <c r="AJ72" s="488"/>
      <c r="AK72" s="488"/>
      <c r="AL72" s="488"/>
      <c r="AM72" s="488"/>
      <c r="AN72" s="488"/>
    </row>
    <row r="73" spans="1:40" ht="15" customHeight="1">
      <c r="A73" s="488"/>
      <c r="B73" s="488"/>
      <c r="C73" s="488"/>
      <c r="D73" s="488"/>
      <c r="E73" s="488"/>
      <c r="F73" s="488"/>
      <c r="G73" s="488"/>
      <c r="H73" s="488"/>
      <c r="I73" s="488"/>
      <c r="J73" s="488"/>
      <c r="K73" s="488"/>
      <c r="L73" s="488"/>
      <c r="M73" s="488"/>
      <c r="N73" s="488"/>
      <c r="O73" s="488"/>
      <c r="P73" s="488"/>
      <c r="Q73" s="488"/>
      <c r="R73" s="488"/>
      <c r="S73" s="488"/>
      <c r="T73" s="488"/>
      <c r="U73" s="487"/>
      <c r="V73" s="487"/>
      <c r="W73" s="487"/>
      <c r="X73" s="487"/>
      <c r="Y73" s="487"/>
      <c r="Z73" s="487"/>
      <c r="AA73" s="487"/>
      <c r="AB73" s="487"/>
      <c r="AC73" s="487"/>
      <c r="AE73" s="488"/>
      <c r="AF73" s="488"/>
      <c r="AG73" s="488"/>
      <c r="AH73" s="488"/>
      <c r="AI73" s="488"/>
      <c r="AJ73" s="488"/>
      <c r="AK73" s="488"/>
      <c r="AL73" s="488"/>
      <c r="AM73" s="488"/>
      <c r="AN73" s="488"/>
    </row>
    <row r="74" spans="1:40" ht="15" customHeight="1">
      <c r="A74" s="488"/>
      <c r="B74" s="488"/>
      <c r="C74" s="488"/>
      <c r="D74" s="488"/>
      <c r="E74" s="488"/>
      <c r="F74" s="488"/>
      <c r="G74" s="488"/>
      <c r="H74" s="488"/>
      <c r="I74" s="488"/>
      <c r="J74" s="488"/>
      <c r="K74" s="488"/>
      <c r="L74" s="488"/>
      <c r="M74" s="488"/>
      <c r="N74" s="488"/>
      <c r="O74" s="488"/>
      <c r="P74" s="488"/>
      <c r="Q74" s="488"/>
      <c r="R74" s="488"/>
      <c r="S74" s="488"/>
      <c r="T74" s="488"/>
      <c r="U74" s="487"/>
      <c r="V74" s="487"/>
      <c r="W74" s="487"/>
      <c r="X74" s="487"/>
      <c r="Y74" s="487"/>
      <c r="Z74" s="487"/>
      <c r="AA74" s="487"/>
      <c r="AB74" s="487"/>
      <c r="AC74" s="487"/>
      <c r="AE74" s="488"/>
      <c r="AF74" s="488"/>
      <c r="AG74" s="488"/>
      <c r="AH74" s="488"/>
      <c r="AI74" s="488"/>
      <c r="AJ74" s="488"/>
      <c r="AK74" s="488"/>
      <c r="AL74" s="488"/>
      <c r="AM74" s="488"/>
      <c r="AN74" s="488"/>
    </row>
    <row r="75" spans="1:40" ht="15" customHeight="1">
      <c r="A75" s="488"/>
      <c r="B75" s="488"/>
      <c r="C75" s="488"/>
      <c r="D75" s="488"/>
      <c r="E75" s="488"/>
      <c r="F75" s="488"/>
      <c r="G75" s="488"/>
      <c r="H75" s="488"/>
      <c r="I75" s="488"/>
      <c r="J75" s="488"/>
      <c r="K75" s="488"/>
      <c r="L75" s="488"/>
      <c r="M75" s="488"/>
      <c r="N75" s="488"/>
      <c r="O75" s="488"/>
      <c r="P75" s="488"/>
      <c r="Q75" s="488"/>
      <c r="R75" s="488"/>
      <c r="S75" s="488"/>
      <c r="T75" s="488"/>
      <c r="U75" s="487"/>
      <c r="V75" s="487"/>
      <c r="W75" s="487"/>
      <c r="X75" s="487"/>
      <c r="Y75" s="487"/>
      <c r="Z75" s="487"/>
      <c r="AA75" s="487"/>
      <c r="AB75" s="487"/>
      <c r="AC75" s="487"/>
      <c r="AE75" s="488"/>
      <c r="AF75" s="488"/>
      <c r="AG75" s="488"/>
      <c r="AH75" s="488"/>
      <c r="AI75" s="488"/>
      <c r="AJ75" s="488"/>
      <c r="AK75" s="488"/>
      <c r="AL75" s="488"/>
      <c r="AM75" s="488"/>
      <c r="AN75" s="488"/>
    </row>
    <row r="76" spans="1:40" ht="15" customHeight="1">
      <c r="A76" s="488"/>
      <c r="B76" s="488"/>
      <c r="C76" s="488"/>
      <c r="D76" s="488"/>
      <c r="E76" s="488"/>
      <c r="F76" s="488"/>
      <c r="G76" s="488"/>
      <c r="H76" s="488"/>
      <c r="I76" s="488"/>
      <c r="J76" s="488"/>
      <c r="K76" s="488"/>
      <c r="L76" s="488"/>
      <c r="M76" s="488"/>
      <c r="N76" s="488"/>
      <c r="O76" s="488"/>
      <c r="P76" s="488"/>
      <c r="Q76" s="488"/>
      <c r="R76" s="488"/>
      <c r="S76" s="488"/>
      <c r="T76" s="488"/>
      <c r="U76" s="487"/>
      <c r="V76" s="487"/>
      <c r="W76" s="487"/>
      <c r="X76" s="487"/>
      <c r="Y76" s="487"/>
      <c r="Z76" s="487"/>
      <c r="AA76" s="487"/>
      <c r="AB76" s="487"/>
      <c r="AC76" s="487"/>
      <c r="AE76" s="488"/>
      <c r="AF76" s="488"/>
      <c r="AG76" s="488"/>
      <c r="AH76" s="488"/>
      <c r="AI76" s="488"/>
      <c r="AJ76" s="488"/>
      <c r="AK76" s="488"/>
      <c r="AL76" s="488"/>
      <c r="AM76" s="488"/>
      <c r="AN76" s="488"/>
    </row>
    <row r="77" spans="1:40" ht="15" customHeight="1">
      <c r="A77" s="488"/>
      <c r="B77" s="488"/>
      <c r="C77" s="488"/>
      <c r="D77" s="488"/>
      <c r="E77" s="488"/>
      <c r="F77" s="488"/>
      <c r="G77" s="488"/>
      <c r="H77" s="488"/>
      <c r="I77" s="488"/>
      <c r="J77" s="488"/>
      <c r="K77" s="488"/>
      <c r="L77" s="488"/>
      <c r="M77" s="488"/>
      <c r="N77" s="488"/>
      <c r="O77" s="488"/>
      <c r="P77" s="488"/>
      <c r="Q77" s="488"/>
      <c r="R77" s="488"/>
      <c r="S77" s="488"/>
      <c r="T77" s="488"/>
      <c r="U77" s="487"/>
      <c r="V77" s="487"/>
      <c r="W77" s="487"/>
      <c r="X77" s="487"/>
      <c r="Y77" s="487"/>
      <c r="Z77" s="487"/>
      <c r="AA77" s="487"/>
      <c r="AB77" s="487"/>
      <c r="AC77" s="487"/>
      <c r="AE77" s="488"/>
      <c r="AF77" s="488"/>
      <c r="AG77" s="488"/>
      <c r="AH77" s="488"/>
      <c r="AI77" s="488"/>
      <c r="AJ77" s="488"/>
      <c r="AK77" s="488"/>
      <c r="AL77" s="488"/>
      <c r="AM77" s="488"/>
      <c r="AN77" s="488"/>
    </row>
    <row r="78" spans="1:40" ht="15" customHeight="1">
      <c r="A78" s="488"/>
      <c r="B78" s="488"/>
      <c r="C78" s="488"/>
      <c r="D78" s="488"/>
      <c r="E78" s="488"/>
      <c r="F78" s="488"/>
      <c r="G78" s="488"/>
      <c r="H78" s="488"/>
      <c r="I78" s="488"/>
      <c r="J78" s="488"/>
      <c r="K78" s="488"/>
      <c r="L78" s="488"/>
      <c r="M78" s="488"/>
      <c r="N78" s="488"/>
      <c r="O78" s="488"/>
      <c r="P78" s="488"/>
      <c r="Q78" s="488"/>
      <c r="R78" s="488"/>
      <c r="S78" s="488"/>
      <c r="T78" s="488"/>
      <c r="U78" s="487"/>
      <c r="V78" s="487"/>
      <c r="W78" s="487"/>
      <c r="X78" s="487"/>
      <c r="Y78" s="487"/>
      <c r="Z78" s="487"/>
      <c r="AA78" s="487"/>
      <c r="AB78" s="487"/>
      <c r="AC78" s="487"/>
      <c r="AE78" s="488"/>
      <c r="AF78" s="488"/>
      <c r="AG78" s="488"/>
      <c r="AH78" s="488"/>
      <c r="AI78" s="488"/>
      <c r="AJ78" s="488"/>
      <c r="AK78" s="488"/>
      <c r="AL78" s="488"/>
      <c r="AM78" s="488"/>
      <c r="AN78" s="488"/>
    </row>
    <row r="79" spans="1:40" ht="15" customHeight="1">
      <c r="A79" s="488"/>
      <c r="B79" s="488"/>
      <c r="C79" s="488"/>
      <c r="D79" s="488"/>
      <c r="E79" s="488"/>
      <c r="F79" s="488"/>
      <c r="G79" s="488"/>
      <c r="H79" s="488"/>
      <c r="I79" s="488"/>
      <c r="J79" s="488"/>
      <c r="K79" s="488"/>
      <c r="L79" s="488"/>
      <c r="M79" s="488"/>
      <c r="N79" s="488"/>
      <c r="O79" s="488"/>
      <c r="P79" s="488"/>
      <c r="Q79" s="488"/>
      <c r="R79" s="488"/>
      <c r="S79" s="488"/>
      <c r="T79" s="488"/>
      <c r="U79" s="487"/>
      <c r="V79" s="487"/>
      <c r="W79" s="487"/>
      <c r="X79" s="487"/>
      <c r="Y79" s="487"/>
      <c r="Z79" s="487"/>
      <c r="AA79" s="487"/>
      <c r="AB79" s="487"/>
      <c r="AC79" s="487"/>
      <c r="AE79" s="488"/>
      <c r="AF79" s="488"/>
      <c r="AG79" s="488"/>
      <c r="AH79" s="488"/>
      <c r="AI79" s="488"/>
      <c r="AJ79" s="488"/>
      <c r="AK79" s="488"/>
      <c r="AL79" s="488"/>
      <c r="AM79" s="488"/>
      <c r="AN79" s="488"/>
    </row>
    <row r="80" spans="1:40" ht="15" customHeight="1">
      <c r="A80" s="488"/>
      <c r="B80" s="488"/>
      <c r="C80" s="488"/>
      <c r="D80" s="488"/>
      <c r="E80" s="488"/>
      <c r="F80" s="488"/>
      <c r="G80" s="488"/>
      <c r="H80" s="488"/>
      <c r="I80" s="488"/>
      <c r="J80" s="488"/>
      <c r="K80" s="488"/>
      <c r="L80" s="488"/>
      <c r="M80" s="488"/>
      <c r="N80" s="488"/>
      <c r="O80" s="488"/>
      <c r="P80" s="488"/>
      <c r="Q80" s="488"/>
      <c r="R80" s="488"/>
      <c r="S80" s="488"/>
      <c r="T80" s="488"/>
      <c r="U80" s="487"/>
      <c r="V80" s="487"/>
      <c r="W80" s="487"/>
      <c r="X80" s="487"/>
      <c r="Y80" s="487"/>
      <c r="Z80" s="487"/>
      <c r="AA80" s="487"/>
      <c r="AB80" s="487"/>
      <c r="AC80" s="487"/>
      <c r="AE80" s="488"/>
      <c r="AF80" s="488"/>
      <c r="AG80" s="488"/>
      <c r="AH80" s="488"/>
      <c r="AI80" s="488"/>
      <c r="AJ80" s="488"/>
      <c r="AK80" s="488"/>
      <c r="AL80" s="488"/>
      <c r="AM80" s="488"/>
      <c r="AN80" s="488"/>
    </row>
    <row r="81" spans="1:40" ht="15" customHeight="1">
      <c r="A81" s="488"/>
      <c r="B81" s="488"/>
      <c r="C81" s="488"/>
      <c r="D81" s="488"/>
      <c r="E81" s="488"/>
      <c r="F81" s="488"/>
      <c r="G81" s="488"/>
      <c r="H81" s="488"/>
      <c r="I81" s="488"/>
      <c r="J81" s="488"/>
      <c r="K81" s="488"/>
      <c r="L81" s="488"/>
      <c r="M81" s="488"/>
      <c r="N81" s="488"/>
      <c r="O81" s="488"/>
      <c r="P81" s="488"/>
      <c r="Q81" s="488"/>
      <c r="R81" s="488"/>
      <c r="S81" s="488"/>
      <c r="T81" s="488"/>
      <c r="U81" s="487"/>
      <c r="V81" s="487"/>
      <c r="W81" s="487"/>
      <c r="X81" s="487"/>
      <c r="Y81" s="487"/>
      <c r="Z81" s="487"/>
      <c r="AA81" s="487"/>
      <c r="AB81" s="487"/>
      <c r="AC81" s="487"/>
      <c r="AE81" s="488"/>
      <c r="AF81" s="488"/>
      <c r="AG81" s="488"/>
      <c r="AH81" s="488"/>
      <c r="AI81" s="488"/>
      <c r="AJ81" s="488"/>
      <c r="AK81" s="488"/>
      <c r="AL81" s="488"/>
      <c r="AM81" s="488"/>
      <c r="AN81" s="488"/>
    </row>
    <row r="82" spans="1:40" ht="15" customHeight="1">
      <c r="A82" s="488"/>
      <c r="B82" s="488"/>
      <c r="C82" s="488"/>
      <c r="D82" s="488"/>
      <c r="E82" s="488"/>
      <c r="F82" s="488"/>
      <c r="G82" s="488"/>
      <c r="H82" s="488"/>
      <c r="I82" s="488"/>
      <c r="J82" s="488"/>
      <c r="K82" s="488"/>
      <c r="L82" s="488"/>
      <c r="M82" s="488"/>
      <c r="N82" s="488"/>
      <c r="O82" s="488"/>
      <c r="P82" s="488"/>
      <c r="Q82" s="488"/>
      <c r="R82" s="488"/>
      <c r="S82" s="488"/>
      <c r="T82" s="488"/>
      <c r="U82" s="487"/>
      <c r="V82" s="487"/>
      <c r="W82" s="487"/>
      <c r="X82" s="487"/>
      <c r="Y82" s="487"/>
      <c r="Z82" s="487"/>
      <c r="AA82" s="487"/>
      <c r="AB82" s="487"/>
      <c r="AC82" s="487"/>
      <c r="AE82" s="488"/>
      <c r="AF82" s="488"/>
      <c r="AG82" s="488"/>
      <c r="AH82" s="488"/>
      <c r="AI82" s="488"/>
      <c r="AJ82" s="488"/>
      <c r="AK82" s="488"/>
      <c r="AL82" s="488"/>
      <c r="AM82" s="488"/>
      <c r="AN82" s="488"/>
    </row>
    <row r="83" spans="1:40" ht="15" customHeight="1">
      <c r="A83" s="488"/>
      <c r="B83" s="488"/>
      <c r="C83" s="488"/>
      <c r="D83" s="488"/>
      <c r="E83" s="488"/>
      <c r="F83" s="488"/>
      <c r="G83" s="488"/>
      <c r="H83" s="488"/>
      <c r="I83" s="488"/>
      <c r="J83" s="488"/>
      <c r="K83" s="488"/>
      <c r="L83" s="488"/>
      <c r="M83" s="488"/>
      <c r="N83" s="488"/>
      <c r="O83" s="488"/>
      <c r="P83" s="488"/>
      <c r="Q83" s="488"/>
      <c r="R83" s="488"/>
      <c r="S83" s="488"/>
      <c r="T83" s="488"/>
      <c r="U83" s="487"/>
      <c r="V83" s="487"/>
      <c r="W83" s="487"/>
      <c r="X83" s="487"/>
      <c r="Y83" s="487"/>
      <c r="Z83" s="487"/>
      <c r="AA83" s="487"/>
      <c r="AB83" s="487"/>
      <c r="AC83" s="487"/>
      <c r="AE83" s="488"/>
      <c r="AF83" s="488"/>
      <c r="AG83" s="488"/>
      <c r="AH83" s="488"/>
      <c r="AI83" s="488"/>
      <c r="AJ83" s="488"/>
      <c r="AK83" s="488"/>
      <c r="AL83" s="488"/>
      <c r="AM83" s="488"/>
      <c r="AN83" s="488"/>
    </row>
    <row r="84" spans="1:40" ht="15" customHeight="1">
      <c r="A84" s="488"/>
      <c r="B84" s="488"/>
      <c r="C84" s="488"/>
      <c r="D84" s="488"/>
      <c r="E84" s="488"/>
      <c r="F84" s="488"/>
      <c r="G84" s="488"/>
      <c r="H84" s="488"/>
      <c r="I84" s="488"/>
      <c r="J84" s="488"/>
      <c r="K84" s="488"/>
      <c r="L84" s="488"/>
      <c r="M84" s="488"/>
      <c r="N84" s="488"/>
      <c r="O84" s="488"/>
      <c r="P84" s="488"/>
      <c r="Q84" s="488"/>
      <c r="R84" s="488"/>
      <c r="S84" s="488"/>
      <c r="T84" s="488"/>
      <c r="U84" s="487"/>
      <c r="V84" s="487"/>
      <c r="W84" s="487"/>
      <c r="X84" s="487"/>
      <c r="Y84" s="487"/>
      <c r="Z84" s="487"/>
      <c r="AA84" s="487"/>
      <c r="AB84" s="487"/>
      <c r="AC84" s="487"/>
      <c r="AE84" s="488"/>
      <c r="AF84" s="488"/>
      <c r="AG84" s="488"/>
      <c r="AH84" s="488"/>
      <c r="AI84" s="488"/>
      <c r="AJ84" s="488"/>
      <c r="AK84" s="488"/>
      <c r="AL84" s="488"/>
      <c r="AM84" s="488"/>
      <c r="AN84" s="488"/>
    </row>
    <row r="85" spans="1:40" ht="15" customHeight="1">
      <c r="A85" s="488"/>
      <c r="B85" s="488"/>
      <c r="C85" s="488"/>
      <c r="D85" s="488"/>
      <c r="E85" s="488"/>
      <c r="F85" s="488"/>
      <c r="G85" s="488"/>
      <c r="H85" s="488"/>
      <c r="I85" s="488"/>
      <c r="J85" s="488"/>
      <c r="K85" s="488"/>
      <c r="L85" s="488"/>
      <c r="M85" s="488"/>
      <c r="N85" s="488"/>
      <c r="O85" s="488"/>
      <c r="P85" s="488"/>
      <c r="Q85" s="488"/>
      <c r="R85" s="488"/>
      <c r="S85" s="488"/>
      <c r="T85" s="488"/>
      <c r="U85" s="487"/>
      <c r="V85" s="487"/>
      <c r="W85" s="487"/>
      <c r="X85" s="487"/>
      <c r="Y85" s="487"/>
      <c r="Z85" s="487"/>
      <c r="AA85" s="487"/>
      <c r="AB85" s="487"/>
      <c r="AC85" s="487"/>
      <c r="AE85" s="488"/>
      <c r="AF85" s="488"/>
      <c r="AG85" s="488"/>
      <c r="AH85" s="488"/>
      <c r="AI85" s="488"/>
      <c r="AJ85" s="488"/>
      <c r="AK85" s="488"/>
      <c r="AL85" s="488"/>
      <c r="AM85" s="488"/>
      <c r="AN85" s="488"/>
    </row>
    <row r="86" spans="1:40" ht="15" customHeight="1">
      <c r="A86" s="488"/>
      <c r="B86" s="488"/>
      <c r="C86" s="488"/>
      <c r="D86" s="488"/>
      <c r="E86" s="488"/>
      <c r="F86" s="488"/>
      <c r="G86" s="488"/>
      <c r="H86" s="488"/>
      <c r="I86" s="488"/>
      <c r="J86" s="488"/>
      <c r="K86" s="488"/>
      <c r="L86" s="488"/>
      <c r="M86" s="488"/>
      <c r="N86" s="488"/>
      <c r="O86" s="488"/>
      <c r="P86" s="488"/>
      <c r="Q86" s="488"/>
      <c r="R86" s="488"/>
      <c r="S86" s="488"/>
      <c r="T86" s="488"/>
      <c r="U86" s="487"/>
      <c r="V86" s="487"/>
      <c r="W86" s="487"/>
      <c r="X86" s="487"/>
      <c r="Y86" s="487"/>
      <c r="Z86" s="487"/>
      <c r="AA86" s="487"/>
      <c r="AB86" s="487"/>
      <c r="AC86" s="487"/>
      <c r="AE86" s="488"/>
      <c r="AF86" s="488"/>
      <c r="AG86" s="488"/>
      <c r="AH86" s="488"/>
      <c r="AI86" s="488"/>
      <c r="AJ86" s="488"/>
      <c r="AK86" s="488"/>
      <c r="AL86" s="488"/>
      <c r="AM86" s="488"/>
      <c r="AN86" s="488"/>
    </row>
    <row r="87" spans="1:40" ht="15" customHeight="1">
      <c r="A87" s="488"/>
      <c r="B87" s="488"/>
      <c r="C87" s="488"/>
      <c r="D87" s="488"/>
      <c r="E87" s="488"/>
      <c r="F87" s="488"/>
      <c r="G87" s="488"/>
      <c r="H87" s="488"/>
      <c r="I87" s="488"/>
      <c r="J87" s="488"/>
      <c r="K87" s="488"/>
      <c r="L87" s="488"/>
      <c r="M87" s="488"/>
      <c r="N87" s="488"/>
      <c r="O87" s="488"/>
      <c r="P87" s="488"/>
      <c r="Q87" s="488"/>
      <c r="R87" s="488"/>
      <c r="S87" s="488"/>
      <c r="T87" s="488"/>
    </row>
  </sheetData>
  <mergeCells count="8">
    <mergeCell ref="A6:I36"/>
    <mergeCell ref="K6:R36"/>
    <mergeCell ref="T6:AD36"/>
    <mergeCell ref="AE6:AN36"/>
    <mergeCell ref="A56:J87"/>
    <mergeCell ref="K56:T87"/>
    <mergeCell ref="U56:AC86"/>
    <mergeCell ref="AE56:AN86"/>
  </mergeCells>
  <phoneticPr fontId="1"/>
  <pageMargins left="0.74" right="0.44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B3" sqref="B3:G20"/>
    </sheetView>
  </sheetViews>
  <sheetFormatPr defaultRowHeight="13.5"/>
  <cols>
    <col min="4" max="5" width="9" customWidth="1"/>
  </cols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53"/>
  <sheetViews>
    <sheetView view="pageBreakPreview" topLeftCell="A10" zoomScaleNormal="100" zoomScaleSheetLayoutView="100" workbookViewId="0">
      <selection activeCell="F14" sqref="F14"/>
    </sheetView>
  </sheetViews>
  <sheetFormatPr defaultColWidth="9" defaultRowHeight="15"/>
  <cols>
    <col min="1" max="1" width="6.625" style="5" customWidth="1"/>
    <col min="2" max="2" width="23.375" style="5" customWidth="1"/>
    <col min="3" max="3" width="28.375" style="5" customWidth="1"/>
    <col min="4" max="5" width="9" style="5"/>
    <col min="6" max="6" width="19.375" style="5" customWidth="1"/>
    <col min="7" max="14" width="10.375" style="5" customWidth="1"/>
    <col min="15" max="15" width="17.375" style="5" customWidth="1"/>
    <col min="16" max="16384" width="9" style="5"/>
  </cols>
  <sheetData>
    <row r="2" spans="1:15" ht="44.25" customHeight="1">
      <c r="A2" s="43" t="s">
        <v>91</v>
      </c>
      <c r="B2" s="43" t="s">
        <v>92</v>
      </c>
      <c r="C2" s="43"/>
      <c r="D2" s="43" t="s">
        <v>93</v>
      </c>
      <c r="E2" s="44" t="s">
        <v>94</v>
      </c>
      <c r="F2" s="43" t="s">
        <v>95</v>
      </c>
      <c r="G2" s="44" t="s">
        <v>96</v>
      </c>
      <c r="H2" s="43" t="s">
        <v>97</v>
      </c>
      <c r="I2" s="43" t="s">
        <v>98</v>
      </c>
      <c r="J2" s="43" t="s">
        <v>99</v>
      </c>
      <c r="K2" s="43" t="s">
        <v>100</v>
      </c>
      <c r="L2" s="43" t="s">
        <v>101</v>
      </c>
      <c r="M2" s="92" t="s">
        <v>102</v>
      </c>
      <c r="N2" s="48" t="s">
        <v>103</v>
      </c>
      <c r="O2" s="5" t="s">
        <v>104</v>
      </c>
    </row>
    <row r="3" spans="1:15" ht="20.100000000000001" customHeight="1">
      <c r="A3" s="135">
        <v>1</v>
      </c>
      <c r="B3" s="49" t="s">
        <v>166</v>
      </c>
      <c r="C3" s="50" t="s">
        <v>106</v>
      </c>
      <c r="D3" s="53">
        <v>6.55</v>
      </c>
      <c r="E3" s="56">
        <v>412</v>
      </c>
      <c r="F3" s="41">
        <v>40</v>
      </c>
      <c r="G3" s="123">
        <f>_xlfn.IFNA(VLOOKUP(データ!B3,INVOICE!$B$33:$K$50,6,FALSE),0)</f>
        <v>300</v>
      </c>
      <c r="H3" s="123">
        <f>ROUNDUP(G3/F3,0)</f>
        <v>8</v>
      </c>
      <c r="I3" s="31">
        <f>G3*E3/1000</f>
        <v>123.6</v>
      </c>
      <c r="J3" s="33"/>
      <c r="K3" s="33">
        <f>H3*0.7</f>
        <v>5.6</v>
      </c>
      <c r="L3" s="32">
        <f>K3+J3+I3</f>
        <v>129.19999999999999</v>
      </c>
      <c r="M3" s="91">
        <v>18</v>
      </c>
      <c r="N3" s="32" t="s">
        <v>107</v>
      </c>
      <c r="O3" s="5" t="s">
        <v>108</v>
      </c>
    </row>
    <row r="4" spans="1:15" ht="20.100000000000001" customHeight="1">
      <c r="A4" s="135">
        <v>2</v>
      </c>
      <c r="B4" s="49" t="s">
        <v>109</v>
      </c>
      <c r="C4" s="51" t="s">
        <v>110</v>
      </c>
      <c r="D4" s="54">
        <v>8.67</v>
      </c>
      <c r="E4" s="56">
        <v>412</v>
      </c>
      <c r="F4" s="41">
        <v>46</v>
      </c>
      <c r="G4" s="123">
        <f>_xlfn.IFNA(VLOOKUP(データ!B4,INVOICE!$B$33:$K$50,6,FALSE),0)</f>
        <v>0</v>
      </c>
      <c r="H4" s="123">
        <f t="shared" ref="H4" si="0">ROUNDUP(G4/F4,0)</f>
        <v>0</v>
      </c>
      <c r="I4" s="31">
        <f t="shared" ref="I4" si="1">G4*E4/1000</f>
        <v>0</v>
      </c>
      <c r="J4" s="33"/>
      <c r="K4" s="33">
        <f t="shared" ref="K4" si="2">H4*0.7</f>
        <v>0</v>
      </c>
      <c r="L4" s="32">
        <f t="shared" ref="L4" si="3">K4+J4+I4</f>
        <v>0</v>
      </c>
      <c r="M4" s="91">
        <v>18</v>
      </c>
      <c r="N4" s="32" t="s">
        <v>107</v>
      </c>
      <c r="O4" s="5" t="s">
        <v>111</v>
      </c>
    </row>
    <row r="5" spans="1:15" ht="20.100000000000001" customHeight="1">
      <c r="A5" s="135">
        <v>3</v>
      </c>
      <c r="B5" s="49" t="s">
        <v>170</v>
      </c>
      <c r="C5" s="51" t="s">
        <v>110</v>
      </c>
      <c r="D5" s="54">
        <v>9.8800000000000008</v>
      </c>
      <c r="E5" s="56">
        <v>412</v>
      </c>
      <c r="F5" s="41">
        <v>46</v>
      </c>
      <c r="G5" s="123">
        <f>_xlfn.IFNA(VLOOKUP(データ!B5,INVOICE!$B$33:$K$50,6,FALSE),0)</f>
        <v>300</v>
      </c>
      <c r="H5" s="123">
        <f t="shared" ref="H5:H6" si="4">ROUNDUP(G5/F5,0)</f>
        <v>7</v>
      </c>
      <c r="I5" s="31">
        <f t="shared" ref="I5:I32" si="5">G5*E5/1000</f>
        <v>123.6</v>
      </c>
      <c r="J5" s="33"/>
      <c r="K5" s="33">
        <f t="shared" ref="K5:K53" si="6">H5*0.7</f>
        <v>4.8999999999999995</v>
      </c>
      <c r="L5" s="32">
        <f t="shared" ref="L5:L17" si="7">K5+J5+I5</f>
        <v>128.5</v>
      </c>
      <c r="M5" s="91">
        <v>18</v>
      </c>
      <c r="N5" s="32" t="s">
        <v>107</v>
      </c>
      <c r="O5" s="5" t="s">
        <v>111</v>
      </c>
    </row>
    <row r="6" spans="1:15" ht="20.100000000000001" customHeight="1">
      <c r="A6" s="135">
        <f t="shared" ref="A6:A53" si="8">A5+1</f>
        <v>4</v>
      </c>
      <c r="B6" s="49" t="s">
        <v>112</v>
      </c>
      <c r="C6" s="51" t="s">
        <v>113</v>
      </c>
      <c r="D6" s="174">
        <v>4.2699999999999996</v>
      </c>
      <c r="E6" s="56">
        <v>360</v>
      </c>
      <c r="F6" s="41">
        <v>68</v>
      </c>
      <c r="G6" s="123">
        <f>_xlfn.IFNA(VLOOKUP(データ!B6,INVOICE!$B$33:$K$50,6,FALSE),0)</f>
        <v>0</v>
      </c>
      <c r="H6" s="123">
        <f t="shared" si="4"/>
        <v>0</v>
      </c>
      <c r="I6" s="31">
        <f t="shared" si="5"/>
        <v>0</v>
      </c>
      <c r="J6" s="33"/>
      <c r="K6" s="33">
        <f t="shared" si="6"/>
        <v>0</v>
      </c>
      <c r="L6" s="32">
        <f t="shared" si="7"/>
        <v>0</v>
      </c>
      <c r="M6" s="91">
        <v>18</v>
      </c>
      <c r="N6" s="32" t="s">
        <v>107</v>
      </c>
      <c r="O6" s="5" t="s">
        <v>114</v>
      </c>
    </row>
    <row r="7" spans="1:15" ht="20.100000000000001" customHeight="1">
      <c r="A7" s="135">
        <f t="shared" si="8"/>
        <v>5</v>
      </c>
      <c r="B7" s="167" t="s">
        <v>115</v>
      </c>
      <c r="C7" s="51" t="s">
        <v>113</v>
      </c>
      <c r="D7" s="54">
        <v>7.8</v>
      </c>
      <c r="E7" s="56">
        <v>706</v>
      </c>
      <c r="F7" s="41">
        <v>34</v>
      </c>
      <c r="G7" s="123">
        <f>_xlfn.IFNA(VLOOKUP(データ!B7,INVOICE!$B$33:$K$50,6,FALSE),0)</f>
        <v>0</v>
      </c>
      <c r="H7" s="123">
        <f>ROUNDUP(G7/F7,0)</f>
        <v>0</v>
      </c>
      <c r="I7" s="31">
        <f t="shared" si="5"/>
        <v>0</v>
      </c>
      <c r="J7" s="33"/>
      <c r="K7" s="33">
        <f t="shared" si="6"/>
        <v>0</v>
      </c>
      <c r="L7" s="32">
        <f t="shared" si="7"/>
        <v>0</v>
      </c>
      <c r="M7" s="91">
        <v>24</v>
      </c>
      <c r="N7" s="32" t="s">
        <v>107</v>
      </c>
      <c r="O7" s="5" t="s">
        <v>116</v>
      </c>
    </row>
    <row r="8" spans="1:15" ht="20.100000000000001" customHeight="1">
      <c r="A8" s="135">
        <f>A7+1</f>
        <v>6</v>
      </c>
      <c r="B8" s="167" t="s">
        <v>42</v>
      </c>
      <c r="C8" s="50" t="s">
        <v>117</v>
      </c>
      <c r="D8" s="165">
        <v>4.1900000000000004</v>
      </c>
      <c r="E8" s="57">
        <v>156</v>
      </c>
      <c r="F8" s="41">
        <v>80</v>
      </c>
      <c r="G8" s="123">
        <f>_xlfn.IFNA(VLOOKUP(データ!B8,INVOICE!$B$33:$K$50,6,FALSE),0)</f>
        <v>0</v>
      </c>
      <c r="H8" s="123">
        <f t="shared" ref="H8:H36" si="9">ROUNDUP(G8/F8,0)</f>
        <v>0</v>
      </c>
      <c r="I8" s="31">
        <f t="shared" si="5"/>
        <v>0</v>
      </c>
      <c r="J8" s="33"/>
      <c r="K8" s="33">
        <f t="shared" si="6"/>
        <v>0</v>
      </c>
      <c r="L8" s="32">
        <f t="shared" si="7"/>
        <v>0</v>
      </c>
      <c r="M8" s="91">
        <v>32</v>
      </c>
      <c r="N8" s="32" t="s">
        <v>107</v>
      </c>
    </row>
    <row r="9" spans="1:15" ht="20.100000000000001" customHeight="1">
      <c r="A9" s="135">
        <f t="shared" si="8"/>
        <v>7</v>
      </c>
      <c r="B9" s="49" t="s">
        <v>118</v>
      </c>
      <c r="C9" s="50" t="s">
        <v>119</v>
      </c>
      <c r="D9" s="115">
        <v>6.22</v>
      </c>
      <c r="E9" s="57">
        <v>212</v>
      </c>
      <c r="F9" s="41">
        <v>26</v>
      </c>
      <c r="G9" s="123">
        <f>_xlfn.IFNA(VLOOKUP(データ!B9,INVOICE!$B$33:$K$50,6,FALSE),0)</f>
        <v>0</v>
      </c>
      <c r="H9" s="123">
        <f t="shared" si="9"/>
        <v>0</v>
      </c>
      <c r="I9" s="31">
        <f t="shared" si="5"/>
        <v>0</v>
      </c>
      <c r="J9" s="33"/>
      <c r="K9" s="33">
        <f t="shared" si="6"/>
        <v>0</v>
      </c>
      <c r="L9" s="32">
        <f t="shared" si="7"/>
        <v>0</v>
      </c>
      <c r="M9" s="91">
        <v>32</v>
      </c>
      <c r="N9" s="32" t="s">
        <v>107</v>
      </c>
      <c r="O9" s="5" t="s">
        <v>120</v>
      </c>
    </row>
    <row r="10" spans="1:15" ht="20.100000000000001" customHeight="1">
      <c r="A10" s="135">
        <f t="shared" si="8"/>
        <v>8</v>
      </c>
      <c r="B10" s="49" t="s">
        <v>121</v>
      </c>
      <c r="C10" s="50" t="s">
        <v>122</v>
      </c>
      <c r="D10" s="115">
        <v>5.84</v>
      </c>
      <c r="E10" s="57">
        <v>212</v>
      </c>
      <c r="F10" s="41">
        <v>26</v>
      </c>
      <c r="G10" s="123">
        <f>_xlfn.IFNA(VLOOKUP(データ!B10,INVOICE!$B$33:$K$50,6,FALSE),0)</f>
        <v>0</v>
      </c>
      <c r="H10" s="123">
        <f t="shared" si="9"/>
        <v>0</v>
      </c>
      <c r="I10" s="31">
        <f t="shared" si="5"/>
        <v>0</v>
      </c>
      <c r="J10" s="33"/>
      <c r="K10" s="33">
        <f t="shared" si="6"/>
        <v>0</v>
      </c>
      <c r="L10" s="32">
        <f t="shared" si="7"/>
        <v>0</v>
      </c>
      <c r="M10" s="91">
        <v>32</v>
      </c>
      <c r="N10" s="32" t="s">
        <v>107</v>
      </c>
      <c r="O10" s="5" t="s">
        <v>120</v>
      </c>
    </row>
    <row r="11" spans="1:15" ht="20.100000000000001" customHeight="1">
      <c r="A11" s="135"/>
      <c r="B11" s="167" t="s">
        <v>156</v>
      </c>
      <c r="C11" s="168" t="s">
        <v>123</v>
      </c>
      <c r="D11" s="115">
        <v>6.84</v>
      </c>
      <c r="E11" s="56">
        <v>250</v>
      </c>
      <c r="F11" s="41">
        <v>60</v>
      </c>
      <c r="G11" s="123">
        <f>_xlfn.IFNA(VLOOKUP(データ!B11,INVOICE!$B$33:$K$50,6,FALSE),0)</f>
        <v>0</v>
      </c>
      <c r="H11" s="123">
        <f t="shared" ref="H11:H12" si="10">ROUNDUP(G11/F11,0)</f>
        <v>0</v>
      </c>
      <c r="I11" s="31">
        <f t="shared" ref="I11:I12" si="11">G11*E11/1000</f>
        <v>0</v>
      </c>
      <c r="J11" s="33"/>
      <c r="K11" s="33">
        <f t="shared" ref="K11:K12" si="12">H11*0.7</f>
        <v>0</v>
      </c>
      <c r="L11" s="32">
        <f t="shared" ref="L11:L12" si="13">K11+J11+I11</f>
        <v>0</v>
      </c>
      <c r="M11" s="91">
        <v>19</v>
      </c>
      <c r="N11" s="32" t="s">
        <v>107</v>
      </c>
    </row>
    <row r="12" spans="1:15" ht="20.100000000000001" customHeight="1">
      <c r="A12" s="135"/>
      <c r="B12" s="167" t="s">
        <v>157</v>
      </c>
      <c r="C12" s="168" t="s">
        <v>47</v>
      </c>
      <c r="D12" s="115">
        <v>6.84</v>
      </c>
      <c r="E12" s="56">
        <v>250</v>
      </c>
      <c r="F12" s="41">
        <v>60</v>
      </c>
      <c r="G12" s="123">
        <f>_xlfn.IFNA(VLOOKUP(データ!B12,INVOICE!$B$33:$K$50,6,FALSE),0)</f>
        <v>0</v>
      </c>
      <c r="H12" s="123">
        <f t="shared" si="10"/>
        <v>0</v>
      </c>
      <c r="I12" s="31">
        <f t="shared" si="11"/>
        <v>0</v>
      </c>
      <c r="J12" s="33"/>
      <c r="K12" s="33">
        <f t="shared" si="12"/>
        <v>0</v>
      </c>
      <c r="L12" s="32">
        <f t="shared" si="13"/>
        <v>0</v>
      </c>
      <c r="M12" s="91">
        <v>21</v>
      </c>
      <c r="N12" s="32" t="s">
        <v>107</v>
      </c>
    </row>
    <row r="13" spans="1:15" ht="20.100000000000001" customHeight="1">
      <c r="A13" s="135" t="e">
        <f>#REF!+1</f>
        <v>#REF!</v>
      </c>
      <c r="B13" s="167" t="s">
        <v>48</v>
      </c>
      <c r="C13" s="169" t="s">
        <v>124</v>
      </c>
      <c r="D13" s="166">
        <v>4.2699999999999996</v>
      </c>
      <c r="E13" s="56">
        <v>220</v>
      </c>
      <c r="F13" s="41">
        <v>70</v>
      </c>
      <c r="G13" s="123">
        <f>_xlfn.IFNA(VLOOKUP(データ!B13,INVOICE!$B$33:$K$50,6,FALSE),0)</f>
        <v>0</v>
      </c>
      <c r="H13" s="123">
        <f t="shared" si="9"/>
        <v>0</v>
      </c>
      <c r="I13" s="31">
        <f t="shared" si="5"/>
        <v>0</v>
      </c>
      <c r="J13" s="33"/>
      <c r="K13" s="33">
        <f t="shared" si="6"/>
        <v>0</v>
      </c>
      <c r="L13" s="32">
        <f t="shared" si="7"/>
        <v>0</v>
      </c>
      <c r="M13" s="91">
        <v>18</v>
      </c>
      <c r="N13" s="32" t="s">
        <v>107</v>
      </c>
    </row>
    <row r="14" spans="1:15" ht="20.100000000000001" customHeight="1">
      <c r="A14" s="135"/>
      <c r="B14" s="167" t="s">
        <v>158</v>
      </c>
      <c r="C14" s="169" t="s">
        <v>124</v>
      </c>
      <c r="D14" s="166">
        <v>4.2699999999999996</v>
      </c>
      <c r="E14" s="56">
        <v>220</v>
      </c>
      <c r="F14" s="41">
        <v>70</v>
      </c>
      <c r="G14" s="123">
        <f>_xlfn.IFNA(VLOOKUP(データ!B14,INVOICE!$B$33:$K$50,6,FALSE),0)</f>
        <v>0</v>
      </c>
      <c r="H14" s="123">
        <f t="shared" ref="H14" si="14">ROUNDUP(G14/F14,0)</f>
        <v>0</v>
      </c>
      <c r="I14" s="31">
        <f t="shared" ref="I14" si="15">G14*E14/1000</f>
        <v>0</v>
      </c>
      <c r="J14" s="33"/>
      <c r="K14" s="33">
        <f t="shared" ref="K14" si="16">H14*0.7</f>
        <v>0</v>
      </c>
      <c r="L14" s="32">
        <f t="shared" ref="L14" si="17">K14+J14+I14</f>
        <v>0</v>
      </c>
      <c r="M14" s="91">
        <v>19</v>
      </c>
      <c r="N14" s="32" t="s">
        <v>107</v>
      </c>
    </row>
    <row r="15" spans="1:15" ht="20.100000000000001" customHeight="1">
      <c r="A15" s="135"/>
      <c r="B15" s="167" t="s">
        <v>171</v>
      </c>
      <c r="C15" s="169" t="s">
        <v>124</v>
      </c>
      <c r="D15" s="166">
        <v>4.2699999999999996</v>
      </c>
      <c r="E15" s="56">
        <v>220</v>
      </c>
      <c r="F15" s="41">
        <v>70</v>
      </c>
      <c r="G15" s="123">
        <f>_xlfn.IFNA(VLOOKUP(データ!B15,INVOICE!$B$33:$K$50,6,FALSE),0)</f>
        <v>0</v>
      </c>
      <c r="H15" s="123">
        <f t="shared" ref="H15" si="18">ROUNDUP(G15/F15,0)</f>
        <v>0</v>
      </c>
      <c r="I15" s="31">
        <f t="shared" ref="I15" si="19">G15*E15/1000</f>
        <v>0</v>
      </c>
      <c r="J15" s="33"/>
      <c r="K15" s="33">
        <f t="shared" ref="K15" si="20">H15*0.7</f>
        <v>0</v>
      </c>
      <c r="L15" s="32">
        <f t="shared" ref="L15" si="21">K15+J15+I15</f>
        <v>0</v>
      </c>
      <c r="M15" s="91">
        <v>19</v>
      </c>
      <c r="N15" s="32" t="s">
        <v>107</v>
      </c>
    </row>
    <row r="16" spans="1:15" ht="20.100000000000001" customHeight="1">
      <c r="A16" s="135"/>
      <c r="B16" s="167" t="s">
        <v>206</v>
      </c>
      <c r="C16" s="169" t="s">
        <v>124</v>
      </c>
      <c r="D16" s="166">
        <v>4.2699999999999996</v>
      </c>
      <c r="E16" s="56">
        <v>220</v>
      </c>
      <c r="F16" s="41">
        <v>80</v>
      </c>
      <c r="G16" s="123">
        <f>_xlfn.IFNA(VLOOKUP(データ!B16,INVOICE!$B$33:$K$50,6,FALSE),0)</f>
        <v>13</v>
      </c>
      <c r="H16" s="123">
        <f t="shared" ref="H16" si="22">ROUNDUP(G16/F16,0)</f>
        <v>1</v>
      </c>
      <c r="I16" s="31">
        <f t="shared" ref="I16" si="23">G16*E16/1000</f>
        <v>2.86</v>
      </c>
      <c r="J16" s="33"/>
      <c r="K16" s="33">
        <f t="shared" ref="K16" si="24">H16*0.7</f>
        <v>0.7</v>
      </c>
      <c r="L16" s="32">
        <f t="shared" ref="L16" si="25">K16+J16+I16</f>
        <v>3.5599999999999996</v>
      </c>
      <c r="M16" s="91">
        <v>19</v>
      </c>
      <c r="N16" s="32" t="s">
        <v>107</v>
      </c>
    </row>
    <row r="17" spans="1:15" ht="20.100000000000001" customHeight="1">
      <c r="A17" s="135" t="e">
        <f>A13+1</f>
        <v>#REF!</v>
      </c>
      <c r="B17" s="167" t="s">
        <v>51</v>
      </c>
      <c r="C17" s="169" t="s">
        <v>124</v>
      </c>
      <c r="D17" s="166">
        <v>7.94</v>
      </c>
      <c r="E17" s="56">
        <v>410</v>
      </c>
      <c r="F17" s="41">
        <v>40</v>
      </c>
      <c r="G17" s="123">
        <f>_xlfn.IFNA(VLOOKUP(データ!B17,INVOICE!$B$33:$K$50,6,FALSE),0)</f>
        <v>0</v>
      </c>
      <c r="H17" s="123">
        <f t="shared" si="9"/>
        <v>0</v>
      </c>
      <c r="I17" s="31">
        <f t="shared" si="5"/>
        <v>0</v>
      </c>
      <c r="J17" s="33"/>
      <c r="K17" s="33">
        <f t="shared" si="6"/>
        <v>0</v>
      </c>
      <c r="L17" s="32">
        <f t="shared" si="7"/>
        <v>0</v>
      </c>
      <c r="M17" s="91">
        <v>24</v>
      </c>
      <c r="N17" s="32" t="s">
        <v>107</v>
      </c>
    </row>
    <row r="18" spans="1:15" ht="20.100000000000001" customHeight="1">
      <c r="A18" s="135"/>
      <c r="B18" s="167" t="s">
        <v>196</v>
      </c>
      <c r="C18" s="169" t="s">
        <v>124</v>
      </c>
      <c r="D18" s="166">
        <v>7.94</v>
      </c>
      <c r="E18" s="56">
        <v>410</v>
      </c>
      <c r="F18" s="41">
        <v>40</v>
      </c>
      <c r="G18" s="123">
        <f>_xlfn.IFNA(VLOOKUP(データ!B18,INVOICE!$B$33:$K$50,6,FALSE),0)</f>
        <v>0</v>
      </c>
      <c r="H18" s="123">
        <f t="shared" ref="H18:H20" si="26">ROUNDUP(G18/F18,0)</f>
        <v>0</v>
      </c>
      <c r="I18" s="31">
        <f t="shared" ref="I18:I20" si="27">G18*E18/1000</f>
        <v>0</v>
      </c>
      <c r="J18" s="33"/>
      <c r="K18" s="33">
        <f t="shared" ref="K18:K20" si="28">H18*0.7</f>
        <v>0</v>
      </c>
      <c r="L18" s="32">
        <f t="shared" ref="L18:L20" si="29">K18+J18+I18</f>
        <v>0</v>
      </c>
      <c r="M18" s="91">
        <v>25</v>
      </c>
      <c r="N18" s="32" t="s">
        <v>107</v>
      </c>
    </row>
    <row r="19" spans="1:15" ht="20.100000000000001" customHeight="1">
      <c r="A19" s="135" t="e">
        <f t="shared" ref="A19" si="30">A17+1</f>
        <v>#REF!</v>
      </c>
      <c r="B19" s="167" t="s">
        <v>126</v>
      </c>
      <c r="C19" s="169" t="s">
        <v>127</v>
      </c>
      <c r="D19" s="109">
        <v>2.46</v>
      </c>
      <c r="E19" s="56">
        <v>100</v>
      </c>
      <c r="F19" s="41">
        <v>170</v>
      </c>
      <c r="G19" s="123">
        <f>_xlfn.IFNA(VLOOKUP(データ!B19,INVOICE!$B$33:$K$50,6,FALSE),0)</f>
        <v>0</v>
      </c>
      <c r="H19" s="123">
        <f t="shared" si="26"/>
        <v>0</v>
      </c>
      <c r="I19" s="31">
        <f t="shared" si="27"/>
        <v>0</v>
      </c>
      <c r="J19" s="33"/>
      <c r="K19" s="33">
        <f t="shared" si="28"/>
        <v>0</v>
      </c>
      <c r="L19" s="32">
        <f t="shared" si="29"/>
        <v>0</v>
      </c>
      <c r="M19" s="91">
        <v>26</v>
      </c>
      <c r="N19" s="32" t="s">
        <v>107</v>
      </c>
      <c r="O19" s="5" t="s">
        <v>128</v>
      </c>
    </row>
    <row r="20" spans="1:15" ht="20.100000000000001" customHeight="1">
      <c r="A20" s="135"/>
      <c r="B20" s="129" t="s">
        <v>160</v>
      </c>
      <c r="C20" s="129" t="s">
        <v>164</v>
      </c>
      <c r="D20" s="109">
        <v>7.94</v>
      </c>
      <c r="E20" s="108">
        <v>414</v>
      </c>
      <c r="F20" s="41">
        <v>40</v>
      </c>
      <c r="G20" s="123">
        <f>_xlfn.IFNA(VLOOKUP(データ!B20,INVOICE!$B$33:$K$50,6,FALSE),0)</f>
        <v>0</v>
      </c>
      <c r="H20" s="123">
        <f t="shared" si="26"/>
        <v>0</v>
      </c>
      <c r="I20" s="31">
        <f t="shared" si="27"/>
        <v>0</v>
      </c>
      <c r="J20" s="33"/>
      <c r="K20" s="33">
        <f t="shared" si="28"/>
        <v>0</v>
      </c>
      <c r="L20" s="32">
        <f t="shared" si="29"/>
        <v>0</v>
      </c>
      <c r="M20" s="91">
        <v>28</v>
      </c>
      <c r="N20" s="32" t="s">
        <v>107</v>
      </c>
    </row>
    <row r="21" spans="1:15" ht="20.100000000000001" customHeight="1">
      <c r="A21" s="135"/>
      <c r="B21" s="129" t="s">
        <v>190</v>
      </c>
      <c r="C21" s="129" t="s">
        <v>193</v>
      </c>
      <c r="D21" s="109">
        <v>7.94</v>
      </c>
      <c r="E21" s="108">
        <v>414</v>
      </c>
      <c r="F21" s="41">
        <v>40</v>
      </c>
      <c r="G21" s="123">
        <f>_xlfn.IFNA(VLOOKUP(データ!B21,INVOICE!$B$33:$K$50,6,FALSE),0)</f>
        <v>640</v>
      </c>
      <c r="H21" s="123">
        <f t="shared" ref="H21" si="31">ROUNDUP(G21/F21,0)</f>
        <v>16</v>
      </c>
      <c r="I21" s="31">
        <f t="shared" ref="I21" si="32">G21*E21/1000</f>
        <v>264.95999999999998</v>
      </c>
      <c r="J21" s="33"/>
      <c r="K21" s="33">
        <f t="shared" ref="K21" si="33">H21*0.7</f>
        <v>11.2</v>
      </c>
      <c r="L21" s="32">
        <f t="shared" ref="L21" si="34">K21+J21+I21</f>
        <v>276.15999999999997</v>
      </c>
      <c r="M21" s="91">
        <v>28</v>
      </c>
      <c r="N21" s="32" t="s">
        <v>107</v>
      </c>
    </row>
    <row r="22" spans="1:15" ht="20.100000000000001" customHeight="1">
      <c r="A22" s="135"/>
      <c r="B22" s="129" t="s">
        <v>161</v>
      </c>
      <c r="C22" s="129" t="s">
        <v>165</v>
      </c>
      <c r="D22" s="109">
        <v>11.04</v>
      </c>
      <c r="E22" s="56">
        <v>470</v>
      </c>
      <c r="F22" s="41">
        <v>42</v>
      </c>
      <c r="G22" s="123">
        <f>_xlfn.IFNA(VLOOKUP(データ!B22,INVOICE!$B$33:$K$50,6,FALSE),0)</f>
        <v>329</v>
      </c>
      <c r="H22" s="123">
        <f t="shared" ref="H22:H24" si="35">ROUNDUP(G22/F22,0)</f>
        <v>8</v>
      </c>
      <c r="I22" s="31">
        <f t="shared" ref="I22:I24" si="36">G22*E22/1000</f>
        <v>154.63</v>
      </c>
      <c r="J22" s="33"/>
      <c r="K22" s="33">
        <f t="shared" ref="K22:K24" si="37">H22*0.7</f>
        <v>5.6</v>
      </c>
      <c r="L22" s="32">
        <f t="shared" ref="L22:L24" si="38">K22+J22+I22</f>
        <v>160.22999999999999</v>
      </c>
      <c r="M22" s="91">
        <v>30</v>
      </c>
      <c r="N22" s="32" t="s">
        <v>107</v>
      </c>
    </row>
    <row r="23" spans="1:15" ht="20.100000000000001" customHeight="1">
      <c r="A23" s="135"/>
      <c r="B23" s="129" t="s">
        <v>172</v>
      </c>
      <c r="C23" s="129" t="s">
        <v>191</v>
      </c>
      <c r="D23" s="166">
        <v>11.04</v>
      </c>
      <c r="E23" s="56">
        <v>470</v>
      </c>
      <c r="F23" s="41">
        <v>42</v>
      </c>
      <c r="G23" s="123">
        <f>_xlfn.IFNA(VLOOKUP(データ!B23,INVOICE!$B$33:$K$50,6,FALSE),0)</f>
        <v>0</v>
      </c>
      <c r="H23" s="123">
        <f t="shared" ref="H23" si="39">ROUNDUP(G23/F23,0)</f>
        <v>0</v>
      </c>
      <c r="I23" s="31">
        <f t="shared" ref="I23" si="40">G23*E23/1000</f>
        <v>0</v>
      </c>
      <c r="J23" s="33"/>
      <c r="K23" s="33">
        <f t="shared" ref="K23" si="41">H23*0.7</f>
        <v>0</v>
      </c>
      <c r="L23" s="32">
        <f t="shared" ref="L23" si="42">K23+J23+I23</f>
        <v>0</v>
      </c>
      <c r="M23" s="91">
        <v>30</v>
      </c>
      <c r="N23" s="32" t="s">
        <v>107</v>
      </c>
    </row>
    <row r="24" spans="1:15" ht="20.100000000000001" customHeight="1">
      <c r="A24" s="135"/>
      <c r="B24" s="129" t="s">
        <v>162</v>
      </c>
      <c r="C24" s="129" t="s">
        <v>163</v>
      </c>
      <c r="D24" s="109">
        <v>11.04</v>
      </c>
      <c r="E24" s="56">
        <v>470</v>
      </c>
      <c r="F24" s="41">
        <v>42</v>
      </c>
      <c r="G24" s="123">
        <f>_xlfn.IFNA(VLOOKUP(データ!B24,INVOICE!$B$33:$K$50,6,FALSE),0)</f>
        <v>331</v>
      </c>
      <c r="H24" s="123">
        <f t="shared" si="35"/>
        <v>8</v>
      </c>
      <c r="I24" s="31">
        <f t="shared" si="36"/>
        <v>155.57</v>
      </c>
      <c r="J24" s="33"/>
      <c r="K24" s="33">
        <f t="shared" si="37"/>
        <v>5.6</v>
      </c>
      <c r="L24" s="32">
        <f t="shared" si="38"/>
        <v>161.16999999999999</v>
      </c>
      <c r="M24" s="91">
        <v>32</v>
      </c>
      <c r="N24" s="32" t="s">
        <v>107</v>
      </c>
    </row>
    <row r="25" spans="1:15" ht="20.100000000000001" customHeight="1">
      <c r="A25" s="135"/>
      <c r="B25" s="129" t="s">
        <v>173</v>
      </c>
      <c r="C25" s="129" t="s">
        <v>192</v>
      </c>
      <c r="D25" s="166">
        <v>11.04</v>
      </c>
      <c r="E25" s="56">
        <v>470</v>
      </c>
      <c r="F25" s="41">
        <v>42</v>
      </c>
      <c r="G25" s="123">
        <f>_xlfn.IFNA(VLOOKUP(データ!B25,INVOICE!$B$33:$K$50,6,FALSE),0)</f>
        <v>0</v>
      </c>
      <c r="H25" s="123">
        <f t="shared" ref="H25" si="43">ROUNDUP(G25/F25,0)</f>
        <v>0</v>
      </c>
      <c r="I25" s="31">
        <f t="shared" ref="I25" si="44">G25*E25/1000</f>
        <v>0</v>
      </c>
      <c r="J25" s="33"/>
      <c r="K25" s="33">
        <f t="shared" ref="K25" si="45">H25*0.7</f>
        <v>0</v>
      </c>
      <c r="L25" s="32">
        <f t="shared" ref="L25" si="46">K25+J25+I25</f>
        <v>0</v>
      </c>
      <c r="M25" s="91">
        <v>32</v>
      </c>
      <c r="N25" s="32" t="s">
        <v>107</v>
      </c>
    </row>
    <row r="26" spans="1:15" s="114" customFormat="1" ht="20.100000000000001" customHeight="1">
      <c r="A26" s="135" t="e">
        <f>#REF!+1</f>
        <v>#REF!</v>
      </c>
      <c r="B26" s="170" t="s">
        <v>35</v>
      </c>
      <c r="C26" s="171" t="s">
        <v>131</v>
      </c>
      <c r="D26" s="109">
        <v>2.81</v>
      </c>
      <c r="E26" s="110">
        <v>90</v>
      </c>
      <c r="F26" s="111">
        <v>170</v>
      </c>
      <c r="G26" s="123">
        <f>_xlfn.IFNA(VLOOKUP(データ!B26,INVOICE!$B$33:$K$50,6,FALSE),0)</f>
        <v>300</v>
      </c>
      <c r="H26" s="123">
        <f t="shared" si="9"/>
        <v>2</v>
      </c>
      <c r="I26" s="31">
        <f t="shared" si="5"/>
        <v>27</v>
      </c>
      <c r="J26" s="112">
        <f>G26*E26/1000</f>
        <v>27</v>
      </c>
      <c r="K26" s="33">
        <f t="shared" si="6"/>
        <v>1.4</v>
      </c>
      <c r="L26" s="112">
        <f t="shared" ref="L26:L32" si="47">H26*0.7</f>
        <v>1.4</v>
      </c>
      <c r="M26" s="113">
        <f>L26+K26+J26</f>
        <v>29.8</v>
      </c>
      <c r="N26" s="113" t="s">
        <v>107</v>
      </c>
    </row>
    <row r="27" spans="1:15" ht="20.100000000000001" customHeight="1">
      <c r="A27" s="135" t="e">
        <f t="shared" si="8"/>
        <v>#REF!</v>
      </c>
      <c r="B27" s="170" t="s">
        <v>38</v>
      </c>
      <c r="C27" s="172" t="s">
        <v>132</v>
      </c>
      <c r="D27" s="165">
        <v>4.79</v>
      </c>
      <c r="E27" s="57">
        <v>255</v>
      </c>
      <c r="F27" s="41">
        <v>80</v>
      </c>
      <c r="G27" s="123">
        <f>_xlfn.IFNA(VLOOKUP(データ!B27,INVOICE!$B$33:$K$50,6,FALSE),0)</f>
        <v>0</v>
      </c>
      <c r="H27" s="123">
        <f t="shared" si="9"/>
        <v>0</v>
      </c>
      <c r="I27" s="31">
        <f t="shared" si="5"/>
        <v>0</v>
      </c>
      <c r="J27" s="33">
        <f>G27*E27/1000</f>
        <v>0</v>
      </c>
      <c r="K27" s="33">
        <f t="shared" si="6"/>
        <v>0</v>
      </c>
      <c r="L27" s="33">
        <f t="shared" si="47"/>
        <v>0</v>
      </c>
      <c r="M27" s="32">
        <f>L27+K27+J27</f>
        <v>0</v>
      </c>
      <c r="N27" s="32" t="s">
        <v>107</v>
      </c>
    </row>
    <row r="28" spans="1:15" s="120" customFormat="1" ht="20.100000000000001" customHeight="1">
      <c r="A28" s="135" t="e">
        <f t="shared" si="8"/>
        <v>#REF!</v>
      </c>
      <c r="B28" s="170" t="s">
        <v>39</v>
      </c>
      <c r="C28" s="171" t="s">
        <v>133</v>
      </c>
      <c r="D28" s="165">
        <v>6.6</v>
      </c>
      <c r="E28" s="116">
        <v>169</v>
      </c>
      <c r="F28" s="117">
        <v>50</v>
      </c>
      <c r="G28" s="123">
        <f>_xlfn.IFNA(VLOOKUP(データ!B28,INVOICE!$B$33:$K$50,6,FALSE),0)</f>
        <v>300</v>
      </c>
      <c r="H28" s="123">
        <f t="shared" si="9"/>
        <v>6</v>
      </c>
      <c r="I28" s="31">
        <f t="shared" si="5"/>
        <v>50.7</v>
      </c>
      <c r="J28" s="118">
        <f t="shared" ref="J28:J31" si="48">G28*E28/1000</f>
        <v>50.7</v>
      </c>
      <c r="K28" s="33">
        <f t="shared" si="6"/>
        <v>4.1999999999999993</v>
      </c>
      <c r="L28" s="118">
        <f t="shared" si="47"/>
        <v>4.1999999999999993</v>
      </c>
      <c r="M28" s="119">
        <f t="shared" ref="M28:M30" si="49">L28+K28+J28</f>
        <v>59.1</v>
      </c>
      <c r="N28" s="119" t="s">
        <v>107</v>
      </c>
    </row>
    <row r="29" spans="1:15" ht="20.100000000000001" customHeight="1">
      <c r="A29" s="135" t="e">
        <f t="shared" si="8"/>
        <v>#REF!</v>
      </c>
      <c r="B29" s="170" t="s">
        <v>40</v>
      </c>
      <c r="C29" s="171" t="s">
        <v>134</v>
      </c>
      <c r="D29" s="165">
        <v>7.61</v>
      </c>
      <c r="E29" s="57">
        <v>167</v>
      </c>
      <c r="F29" s="41">
        <v>50</v>
      </c>
      <c r="G29" s="123">
        <f>_xlfn.IFNA(VLOOKUP(データ!B29,INVOICE!$B$33:$K$50,6,FALSE),0)</f>
        <v>300</v>
      </c>
      <c r="H29" s="123">
        <f t="shared" si="9"/>
        <v>6</v>
      </c>
      <c r="I29" s="31">
        <f t="shared" si="5"/>
        <v>50.1</v>
      </c>
      <c r="J29" s="33">
        <f>G29*E29/1000</f>
        <v>50.1</v>
      </c>
      <c r="K29" s="33">
        <f t="shared" si="6"/>
        <v>4.1999999999999993</v>
      </c>
      <c r="L29" s="33">
        <f t="shared" si="47"/>
        <v>4.1999999999999993</v>
      </c>
      <c r="M29" s="32">
        <f t="shared" si="49"/>
        <v>58.5</v>
      </c>
      <c r="N29" s="32" t="s">
        <v>107</v>
      </c>
      <c r="O29" s="42"/>
    </row>
    <row r="30" spans="1:15" s="114" customFormat="1" ht="20.100000000000001" customHeight="1">
      <c r="A30" s="135" t="e">
        <f t="shared" si="8"/>
        <v>#REF!</v>
      </c>
      <c r="B30" s="106" t="s">
        <v>36</v>
      </c>
      <c r="C30" s="107" t="s">
        <v>135</v>
      </c>
      <c r="D30" s="165">
        <v>6.13</v>
      </c>
      <c r="E30" s="110">
        <v>348</v>
      </c>
      <c r="F30" s="111">
        <v>40</v>
      </c>
      <c r="G30" s="123">
        <f>_xlfn.IFNA(VLOOKUP(データ!B30,INVOICE!$B$33:$K$50,6,FALSE),0)</f>
        <v>0</v>
      </c>
      <c r="H30" s="123">
        <f t="shared" si="9"/>
        <v>0</v>
      </c>
      <c r="I30" s="31">
        <f t="shared" si="5"/>
        <v>0</v>
      </c>
      <c r="J30" s="112">
        <f t="shared" si="48"/>
        <v>0</v>
      </c>
      <c r="K30" s="33">
        <f t="shared" si="6"/>
        <v>0</v>
      </c>
      <c r="L30" s="112">
        <f t="shared" si="47"/>
        <v>0</v>
      </c>
      <c r="M30" s="113">
        <f t="shared" si="49"/>
        <v>0</v>
      </c>
      <c r="N30" s="113" t="s">
        <v>107</v>
      </c>
    </row>
    <row r="31" spans="1:15" ht="20.100000000000001" customHeight="1">
      <c r="A31" s="135" t="e">
        <f t="shared" si="8"/>
        <v>#REF!</v>
      </c>
      <c r="B31" s="106" t="s">
        <v>37</v>
      </c>
      <c r="C31" s="107" t="s">
        <v>136</v>
      </c>
      <c r="D31" s="54">
        <v>9.8699999999999992</v>
      </c>
      <c r="E31" s="56">
        <v>545</v>
      </c>
      <c r="F31" s="41">
        <v>46</v>
      </c>
      <c r="G31" s="123">
        <f>_xlfn.IFNA(VLOOKUP(データ!B31,INVOICE!$B$33:$K$50,6,FALSE),0)</f>
        <v>0</v>
      </c>
      <c r="H31" s="123">
        <f t="shared" si="9"/>
        <v>0</v>
      </c>
      <c r="I31" s="31">
        <f t="shared" si="5"/>
        <v>0</v>
      </c>
      <c r="J31" s="33">
        <f t="shared" si="48"/>
        <v>0</v>
      </c>
      <c r="K31" s="33">
        <f t="shared" si="6"/>
        <v>0</v>
      </c>
      <c r="L31" s="33">
        <f t="shared" si="47"/>
        <v>0</v>
      </c>
      <c r="M31" s="32">
        <f>L31+K31+J31</f>
        <v>0</v>
      </c>
      <c r="N31" s="32" t="s">
        <v>107</v>
      </c>
    </row>
    <row r="32" spans="1:15" s="120" customFormat="1" ht="20.100000000000001" customHeight="1">
      <c r="A32" s="135" t="e">
        <f t="shared" si="8"/>
        <v>#REF!</v>
      </c>
      <c r="B32" s="173" t="s">
        <v>41</v>
      </c>
      <c r="C32" s="168" t="s">
        <v>137</v>
      </c>
      <c r="D32" s="121">
        <v>4.79</v>
      </c>
      <c r="E32" s="122">
        <v>233</v>
      </c>
      <c r="F32" s="117">
        <v>80</v>
      </c>
      <c r="G32" s="123">
        <f>_xlfn.IFNA(VLOOKUP(データ!B32,INVOICE!$B$33:$K$50,6,FALSE),0)</f>
        <v>0</v>
      </c>
      <c r="H32" s="123">
        <f t="shared" si="9"/>
        <v>0</v>
      </c>
      <c r="I32" s="31">
        <f t="shared" si="5"/>
        <v>0</v>
      </c>
      <c r="J32" s="118">
        <f>G32*E32/1000</f>
        <v>0</v>
      </c>
      <c r="K32" s="33">
        <f t="shared" si="6"/>
        <v>0</v>
      </c>
      <c r="L32" s="118">
        <f t="shared" si="47"/>
        <v>0</v>
      </c>
      <c r="M32" s="119">
        <f t="shared" ref="M32" si="50">L32+K32+J32</f>
        <v>0</v>
      </c>
      <c r="N32" s="119" t="s">
        <v>107</v>
      </c>
    </row>
    <row r="33" spans="1:14" ht="20.100000000000001" customHeight="1">
      <c r="A33" s="135" t="e">
        <f t="shared" si="8"/>
        <v>#REF!</v>
      </c>
      <c r="B33" s="129" t="s">
        <v>129</v>
      </c>
      <c r="C33" s="129" t="s">
        <v>130</v>
      </c>
      <c r="D33" s="55">
        <v>7.22</v>
      </c>
      <c r="E33" s="108">
        <v>414</v>
      </c>
      <c r="F33" s="41">
        <v>40</v>
      </c>
      <c r="G33" s="123">
        <f>_xlfn.IFNA(VLOOKUP(データ!B33,INVOICE!$B$33:$K$50,6,FALSE),0)</f>
        <v>0</v>
      </c>
      <c r="H33" s="123">
        <f t="shared" si="9"/>
        <v>0</v>
      </c>
      <c r="I33" s="31">
        <f t="shared" ref="I33" si="51">G33*E33/1000</f>
        <v>0</v>
      </c>
      <c r="J33" s="33">
        <f>G33*E33/1000-0.01</f>
        <v>-0.01</v>
      </c>
      <c r="K33" s="33">
        <f t="shared" ref="K33" si="52">H33*0.7</f>
        <v>0</v>
      </c>
      <c r="L33" s="33">
        <f t="shared" ref="L33" si="53">H33*0.7</f>
        <v>0</v>
      </c>
      <c r="M33" s="32">
        <f t="shared" ref="M33" si="54">L33+K33+J33</f>
        <v>-0.01</v>
      </c>
      <c r="N33" s="32" t="s">
        <v>107</v>
      </c>
    </row>
    <row r="34" spans="1:14" ht="20.100000000000001" customHeight="1">
      <c r="A34" s="135" t="e">
        <f>A33+1</f>
        <v>#REF!</v>
      </c>
      <c r="B34" s="173" t="s">
        <v>151</v>
      </c>
      <c r="C34" s="172" t="s">
        <v>132</v>
      </c>
      <c r="D34" s="109">
        <v>5.01</v>
      </c>
      <c r="E34" s="122">
        <v>233</v>
      </c>
      <c r="F34" s="117">
        <v>80</v>
      </c>
      <c r="G34" s="123">
        <f>_xlfn.IFNA(VLOOKUP(データ!B34,INVOICE!$B$33:$K$50,6,FALSE),0)</f>
        <v>300</v>
      </c>
      <c r="H34" s="123">
        <f t="shared" si="9"/>
        <v>4</v>
      </c>
      <c r="I34" s="31">
        <f t="shared" ref="I34:I35" si="55">G34*E34/1000</f>
        <v>69.900000000000006</v>
      </c>
      <c r="J34" s="118">
        <f>G34*E34/1000</f>
        <v>69.900000000000006</v>
      </c>
      <c r="K34" s="33">
        <f t="shared" si="6"/>
        <v>2.8</v>
      </c>
      <c r="L34" s="118">
        <f t="shared" ref="L34:L35" si="56">H34*0.7</f>
        <v>2.8</v>
      </c>
      <c r="M34" s="119">
        <f t="shared" ref="M34:M35" si="57">L34+K34+J34</f>
        <v>75.5</v>
      </c>
      <c r="N34" s="119" t="s">
        <v>107</v>
      </c>
    </row>
    <row r="35" spans="1:14" ht="20.100000000000001" customHeight="1">
      <c r="A35" s="135" t="e">
        <f t="shared" si="8"/>
        <v>#REF!</v>
      </c>
      <c r="B35" s="173" t="s">
        <v>152</v>
      </c>
      <c r="C35" s="172" t="s">
        <v>137</v>
      </c>
      <c r="D35" s="109">
        <v>5.01</v>
      </c>
      <c r="E35" s="122">
        <v>233</v>
      </c>
      <c r="F35" s="117">
        <v>80</v>
      </c>
      <c r="G35" s="123">
        <f>_xlfn.IFNA(VLOOKUP(データ!B35,INVOICE!$B$33:$K$50,6,FALSE),0)</f>
        <v>300</v>
      </c>
      <c r="H35" s="123">
        <f t="shared" si="9"/>
        <v>4</v>
      </c>
      <c r="I35" s="31">
        <f t="shared" si="55"/>
        <v>69.900000000000006</v>
      </c>
      <c r="J35" s="118">
        <f>G35*E35/1000</f>
        <v>69.900000000000006</v>
      </c>
      <c r="K35" s="33">
        <f t="shared" si="6"/>
        <v>2.8</v>
      </c>
      <c r="L35" s="118">
        <f t="shared" si="56"/>
        <v>2.8</v>
      </c>
      <c r="M35" s="119">
        <f t="shared" si="57"/>
        <v>75.5</v>
      </c>
      <c r="N35" s="119" t="s">
        <v>107</v>
      </c>
    </row>
    <row r="36" spans="1:14" ht="20.100000000000001" customHeight="1">
      <c r="A36" s="135" t="e">
        <f>A35+1</f>
        <v>#REF!</v>
      </c>
      <c r="B36" s="173" t="s">
        <v>150</v>
      </c>
      <c r="C36" s="172" t="s">
        <v>153</v>
      </c>
      <c r="D36" s="109">
        <v>4.59</v>
      </c>
      <c r="E36" s="122">
        <v>233</v>
      </c>
      <c r="F36" s="117">
        <v>80</v>
      </c>
      <c r="G36" s="123">
        <f>_xlfn.IFNA(VLOOKUP(データ!B36,INVOICE!$B$33:$K$50,6,FALSE),0)</f>
        <v>300</v>
      </c>
      <c r="H36" s="123">
        <f t="shared" si="9"/>
        <v>4</v>
      </c>
      <c r="I36" s="31">
        <f t="shared" ref="I36:I37" si="58">G36*E36/1000</f>
        <v>69.900000000000006</v>
      </c>
      <c r="J36" s="118">
        <f>G36*E36/1000</f>
        <v>69.900000000000006</v>
      </c>
      <c r="K36" s="33">
        <f t="shared" ref="K36:K37" si="59">H36*0.7</f>
        <v>2.8</v>
      </c>
      <c r="L36" s="118">
        <f t="shared" ref="L36:L37" si="60">H36*0.7</f>
        <v>2.8</v>
      </c>
      <c r="M36" s="119">
        <f t="shared" ref="M36:M37" si="61">L36+K36+J36</f>
        <v>75.5</v>
      </c>
      <c r="N36" s="119" t="s">
        <v>107</v>
      </c>
    </row>
    <row r="37" spans="1:14" ht="20.100000000000001" customHeight="1">
      <c r="A37" s="135" t="e">
        <f t="shared" si="8"/>
        <v>#REF!</v>
      </c>
      <c r="B37" s="173" t="s">
        <v>149</v>
      </c>
      <c r="C37" s="172" t="s">
        <v>154</v>
      </c>
      <c r="D37" s="109">
        <v>4.59</v>
      </c>
      <c r="E37" s="122">
        <v>233</v>
      </c>
      <c r="F37" s="117">
        <v>80</v>
      </c>
      <c r="G37" s="123">
        <f>_xlfn.IFNA(VLOOKUP(データ!B37,INVOICE!$B$33:$K$50,6,FALSE),0)</f>
        <v>300</v>
      </c>
      <c r="H37" s="123">
        <f>ROUNDUP(G37/F37,0)</f>
        <v>4</v>
      </c>
      <c r="I37" s="31">
        <f t="shared" si="58"/>
        <v>69.900000000000006</v>
      </c>
      <c r="J37" s="118">
        <f>G37*E37/1000</f>
        <v>69.900000000000006</v>
      </c>
      <c r="K37" s="33">
        <f t="shared" si="59"/>
        <v>2.8</v>
      </c>
      <c r="L37" s="118">
        <f t="shared" si="60"/>
        <v>2.8</v>
      </c>
      <c r="M37" s="119">
        <f t="shared" si="61"/>
        <v>75.5</v>
      </c>
      <c r="N37" s="119" t="s">
        <v>107</v>
      </c>
    </row>
    <row r="38" spans="1:14" ht="20.100000000000001" customHeight="1">
      <c r="A38" s="135" t="e">
        <f t="shared" si="8"/>
        <v>#REF!</v>
      </c>
      <c r="B38" s="173" t="s">
        <v>184</v>
      </c>
      <c r="C38" s="173" t="s">
        <v>185</v>
      </c>
      <c r="D38" s="166">
        <v>15.07</v>
      </c>
      <c r="E38" s="162">
        <v>909</v>
      </c>
      <c r="F38" s="117">
        <v>22</v>
      </c>
      <c r="G38" s="123">
        <f>_xlfn.IFNA(VLOOKUP(データ!B38,INVOICE!$B$33:$K$50,6,FALSE),0)</f>
        <v>80</v>
      </c>
      <c r="H38" s="123">
        <f t="shared" ref="H38:H48" si="62">ROUNDUP(G38/F38,0)</f>
        <v>4</v>
      </c>
      <c r="I38" s="31">
        <f t="shared" ref="I38:I48" si="63">G38*E38/1000</f>
        <v>72.72</v>
      </c>
      <c r="J38" s="118">
        <f t="shared" ref="J38:J48" si="64">G38*E38/1000</f>
        <v>72.72</v>
      </c>
      <c r="K38" s="33">
        <f t="shared" ref="K38:K48" si="65">H38*0.7</f>
        <v>2.8</v>
      </c>
      <c r="L38" s="118">
        <f t="shared" ref="L38:L48" si="66">H38*0.7</f>
        <v>2.8</v>
      </c>
      <c r="M38" s="119">
        <f t="shared" ref="M38:M48" si="67">L38+K38+J38</f>
        <v>78.319999999999993</v>
      </c>
      <c r="N38" s="119" t="s">
        <v>107</v>
      </c>
    </row>
    <row r="39" spans="1:14" ht="20.100000000000001" customHeight="1">
      <c r="A39" s="135" t="e">
        <f>A38+1</f>
        <v>#REF!</v>
      </c>
      <c r="B39" s="173" t="s">
        <v>174</v>
      </c>
      <c r="C39" s="173" t="s">
        <v>110</v>
      </c>
      <c r="D39" s="166">
        <v>17.38</v>
      </c>
      <c r="E39" s="162">
        <v>1105</v>
      </c>
      <c r="F39" s="117">
        <v>20</v>
      </c>
      <c r="G39" s="123">
        <f>_xlfn.IFNA(VLOOKUP(データ!B39,INVOICE!$B$33:$K$50,6,FALSE),0)</f>
        <v>0</v>
      </c>
      <c r="H39" s="123">
        <f t="shared" si="62"/>
        <v>0</v>
      </c>
      <c r="I39" s="31">
        <f t="shared" si="63"/>
        <v>0</v>
      </c>
      <c r="J39" s="118">
        <f t="shared" si="64"/>
        <v>0</v>
      </c>
      <c r="K39" s="33">
        <f t="shared" si="65"/>
        <v>0</v>
      </c>
      <c r="L39" s="118">
        <f t="shared" si="66"/>
        <v>0</v>
      </c>
      <c r="M39" s="119">
        <f t="shared" si="67"/>
        <v>0</v>
      </c>
      <c r="N39" s="119" t="s">
        <v>107</v>
      </c>
    </row>
    <row r="40" spans="1:14" ht="20.100000000000001" customHeight="1">
      <c r="A40" s="135" t="e">
        <f t="shared" si="8"/>
        <v>#REF!</v>
      </c>
      <c r="B40" s="170" t="s">
        <v>175</v>
      </c>
      <c r="C40" s="172" t="s">
        <v>186</v>
      </c>
      <c r="D40" s="166">
        <v>10.14</v>
      </c>
      <c r="E40" s="108">
        <v>322</v>
      </c>
      <c r="F40" s="117">
        <v>36</v>
      </c>
      <c r="G40" s="123">
        <f>_xlfn.IFNA(VLOOKUP(データ!B40,INVOICE!$B$33:$K$50,6,FALSE),0)</f>
        <v>0</v>
      </c>
      <c r="H40" s="123">
        <f t="shared" si="62"/>
        <v>0</v>
      </c>
      <c r="I40" s="31">
        <f t="shared" si="63"/>
        <v>0</v>
      </c>
      <c r="J40" s="118">
        <f t="shared" si="64"/>
        <v>0</v>
      </c>
      <c r="K40" s="33">
        <f t="shared" si="65"/>
        <v>0</v>
      </c>
      <c r="L40" s="118">
        <f t="shared" si="66"/>
        <v>0</v>
      </c>
      <c r="M40" s="119">
        <f t="shared" si="67"/>
        <v>0</v>
      </c>
      <c r="N40" s="119" t="s">
        <v>107</v>
      </c>
    </row>
    <row r="41" spans="1:14" ht="20.100000000000001" customHeight="1">
      <c r="A41" s="135" t="e">
        <f t="shared" si="8"/>
        <v>#REF!</v>
      </c>
      <c r="B41" s="173" t="s">
        <v>176</v>
      </c>
      <c r="C41" s="105" t="s">
        <v>187</v>
      </c>
      <c r="D41" s="166">
        <v>10.14</v>
      </c>
      <c r="E41" s="108">
        <v>322</v>
      </c>
      <c r="F41" s="117">
        <v>36</v>
      </c>
      <c r="G41" s="123">
        <f>_xlfn.IFNA(VLOOKUP(データ!B41,INVOICE!$B$33:$K$50,6,FALSE),0)</f>
        <v>0</v>
      </c>
      <c r="H41" s="123">
        <f t="shared" si="62"/>
        <v>0</v>
      </c>
      <c r="I41" s="31">
        <f t="shared" si="63"/>
        <v>0</v>
      </c>
      <c r="J41" s="118">
        <f t="shared" si="64"/>
        <v>0</v>
      </c>
      <c r="K41" s="33">
        <f t="shared" si="65"/>
        <v>0</v>
      </c>
      <c r="L41" s="118">
        <f t="shared" si="66"/>
        <v>0</v>
      </c>
      <c r="M41" s="119">
        <f t="shared" si="67"/>
        <v>0</v>
      </c>
      <c r="N41" s="119" t="s">
        <v>107</v>
      </c>
    </row>
    <row r="42" spans="1:14" ht="20.100000000000001" customHeight="1">
      <c r="A42" s="135" t="e">
        <f>A41+1</f>
        <v>#REF!</v>
      </c>
      <c r="B42" s="173" t="s">
        <v>177</v>
      </c>
      <c r="C42" s="51" t="s">
        <v>178</v>
      </c>
      <c r="D42" s="166">
        <v>10.48</v>
      </c>
      <c r="E42" s="108">
        <v>638</v>
      </c>
      <c r="F42" s="117">
        <v>34</v>
      </c>
      <c r="G42" s="123">
        <f>_xlfn.IFNA(VLOOKUP(データ!B42,INVOICE!$B$33:$K$50,6,FALSE),0)</f>
        <v>0</v>
      </c>
      <c r="H42" s="123">
        <f t="shared" si="62"/>
        <v>0</v>
      </c>
      <c r="I42" s="31">
        <f t="shared" si="63"/>
        <v>0</v>
      </c>
      <c r="J42" s="118">
        <f t="shared" si="64"/>
        <v>0</v>
      </c>
      <c r="K42" s="33">
        <f t="shared" si="65"/>
        <v>0</v>
      </c>
      <c r="L42" s="118">
        <f t="shared" si="66"/>
        <v>0</v>
      </c>
      <c r="M42" s="119">
        <f t="shared" si="67"/>
        <v>0</v>
      </c>
      <c r="N42" s="119" t="s">
        <v>107</v>
      </c>
    </row>
    <row r="43" spans="1:14" ht="20.100000000000001" customHeight="1">
      <c r="A43" s="135" t="e">
        <f t="shared" si="8"/>
        <v>#REF!</v>
      </c>
      <c r="B43" s="173" t="s">
        <v>179</v>
      </c>
      <c r="C43" s="51" t="s">
        <v>180</v>
      </c>
      <c r="D43" s="166">
        <v>10.48</v>
      </c>
      <c r="E43" s="108">
        <v>638</v>
      </c>
      <c r="F43" s="117">
        <v>34</v>
      </c>
      <c r="G43" s="123">
        <f>_xlfn.IFNA(VLOOKUP(データ!B43,INVOICE!$B$33:$K$50,6,FALSE),0)</f>
        <v>320</v>
      </c>
      <c r="H43" s="123">
        <f t="shared" si="62"/>
        <v>10</v>
      </c>
      <c r="I43" s="31">
        <f t="shared" si="63"/>
        <v>204.16</v>
      </c>
      <c r="J43" s="118">
        <f t="shared" si="64"/>
        <v>204.16</v>
      </c>
      <c r="K43" s="33">
        <f t="shared" si="65"/>
        <v>7</v>
      </c>
      <c r="L43" s="118">
        <f t="shared" si="66"/>
        <v>7</v>
      </c>
      <c r="M43" s="119">
        <f t="shared" si="67"/>
        <v>218.16</v>
      </c>
      <c r="N43" s="119" t="s">
        <v>107</v>
      </c>
    </row>
    <row r="44" spans="1:14" ht="15.75">
      <c r="A44" s="135" t="e">
        <f t="shared" si="8"/>
        <v>#REF!</v>
      </c>
      <c r="B44" s="173" t="s">
        <v>181</v>
      </c>
      <c r="C44" s="163" t="s">
        <v>122</v>
      </c>
      <c r="D44" s="166">
        <v>13.28</v>
      </c>
      <c r="E44" s="108">
        <v>379</v>
      </c>
      <c r="F44" s="117">
        <v>20</v>
      </c>
      <c r="G44" s="123">
        <f>_xlfn.IFNA(VLOOKUP(データ!B44,INVOICE!$B$33:$K$50,6,FALSE),0)</f>
        <v>323</v>
      </c>
      <c r="H44" s="123">
        <f t="shared" si="62"/>
        <v>17</v>
      </c>
      <c r="I44" s="31">
        <f t="shared" si="63"/>
        <v>122.417</v>
      </c>
      <c r="J44" s="118">
        <f t="shared" si="64"/>
        <v>122.417</v>
      </c>
      <c r="K44" s="33">
        <f t="shared" si="65"/>
        <v>11.899999999999999</v>
      </c>
      <c r="L44" s="118">
        <f t="shared" si="66"/>
        <v>11.899999999999999</v>
      </c>
      <c r="M44" s="119">
        <f t="shared" si="67"/>
        <v>146.21699999999998</v>
      </c>
      <c r="N44" s="119" t="s">
        <v>107</v>
      </c>
    </row>
    <row r="45" spans="1:14" ht="15.75">
      <c r="A45" s="135" t="e">
        <f>A44+1</f>
        <v>#REF!</v>
      </c>
      <c r="B45" s="173" t="s">
        <v>182</v>
      </c>
      <c r="C45" s="163" t="s">
        <v>183</v>
      </c>
      <c r="D45" s="166">
        <v>12.36</v>
      </c>
      <c r="E45" s="108">
        <v>372</v>
      </c>
      <c r="F45" s="117">
        <v>20</v>
      </c>
      <c r="G45" s="123">
        <f>_xlfn.IFNA(VLOOKUP(データ!B45,INVOICE!$B$33:$K$50,6,FALSE),0)</f>
        <v>6</v>
      </c>
      <c r="H45" s="123">
        <f t="shared" si="62"/>
        <v>1</v>
      </c>
      <c r="I45" s="31">
        <f t="shared" si="63"/>
        <v>2.2320000000000002</v>
      </c>
      <c r="J45" s="118">
        <f t="shared" si="64"/>
        <v>2.2320000000000002</v>
      </c>
      <c r="K45" s="33">
        <f t="shared" si="65"/>
        <v>0.7</v>
      </c>
      <c r="L45" s="118">
        <f t="shared" si="66"/>
        <v>0.7</v>
      </c>
      <c r="M45" s="119">
        <f t="shared" si="67"/>
        <v>3.6320000000000001</v>
      </c>
      <c r="N45" s="119" t="s">
        <v>107</v>
      </c>
    </row>
    <row r="46" spans="1:14" ht="15.75">
      <c r="A46" s="135" t="e">
        <f t="shared" ref="A46" si="68">A45+1</f>
        <v>#REF!</v>
      </c>
      <c r="B46" s="175" t="s">
        <v>172</v>
      </c>
      <c r="C46" s="52" t="s">
        <v>123</v>
      </c>
      <c r="D46" s="166">
        <v>11.04</v>
      </c>
      <c r="E46" s="56">
        <v>466</v>
      </c>
      <c r="F46" s="117">
        <v>42</v>
      </c>
      <c r="G46" s="123">
        <f>_xlfn.IFNA(VLOOKUP(データ!B46,INVOICE!$B$33:$K$50,6,FALSE),0)</f>
        <v>0</v>
      </c>
      <c r="H46" s="123">
        <f t="shared" si="62"/>
        <v>0</v>
      </c>
      <c r="I46" s="31">
        <f t="shared" si="63"/>
        <v>0</v>
      </c>
      <c r="J46" s="118">
        <f t="shared" si="64"/>
        <v>0</v>
      </c>
      <c r="K46" s="33">
        <f t="shared" si="65"/>
        <v>0</v>
      </c>
      <c r="L46" s="118">
        <f t="shared" si="66"/>
        <v>0</v>
      </c>
      <c r="M46" s="119">
        <f t="shared" si="67"/>
        <v>0</v>
      </c>
      <c r="N46" s="119" t="s">
        <v>107</v>
      </c>
    </row>
    <row r="47" spans="1:14" ht="15.75">
      <c r="A47" s="135" t="e">
        <f t="shared" si="8"/>
        <v>#REF!</v>
      </c>
      <c r="B47" s="175" t="s">
        <v>173</v>
      </c>
      <c r="C47" s="52" t="s">
        <v>47</v>
      </c>
      <c r="D47" s="166">
        <v>11.04</v>
      </c>
      <c r="E47" s="56">
        <v>466</v>
      </c>
      <c r="F47" s="117">
        <v>42</v>
      </c>
      <c r="G47" s="123">
        <f>_xlfn.IFNA(VLOOKUP(データ!B47,INVOICE!$B$33:$K$50,6,FALSE),0)</f>
        <v>0</v>
      </c>
      <c r="H47" s="123">
        <f t="shared" si="62"/>
        <v>0</v>
      </c>
      <c r="I47" s="31">
        <f t="shared" si="63"/>
        <v>0</v>
      </c>
      <c r="J47" s="118">
        <f t="shared" si="64"/>
        <v>0</v>
      </c>
      <c r="K47" s="33">
        <f t="shared" si="65"/>
        <v>0</v>
      </c>
      <c r="L47" s="118">
        <f t="shared" si="66"/>
        <v>0</v>
      </c>
      <c r="M47" s="119">
        <f t="shared" si="67"/>
        <v>0</v>
      </c>
      <c r="N47" s="119" t="s">
        <v>107</v>
      </c>
    </row>
    <row r="48" spans="1:14">
      <c r="A48" s="135" t="e">
        <f t="shared" si="8"/>
        <v>#REF!</v>
      </c>
      <c r="B48" s="129"/>
      <c r="C48" s="21"/>
      <c r="D48" s="129"/>
      <c r="E48" s="21"/>
      <c r="F48" s="21"/>
      <c r="G48" s="21"/>
      <c r="H48" s="123" t="e">
        <f t="shared" si="62"/>
        <v>#DIV/0!</v>
      </c>
      <c r="I48" s="31">
        <f t="shared" si="63"/>
        <v>0</v>
      </c>
      <c r="J48" s="118">
        <f t="shared" si="64"/>
        <v>0</v>
      </c>
      <c r="K48" s="33" t="e">
        <f t="shared" si="65"/>
        <v>#DIV/0!</v>
      </c>
      <c r="L48" s="118" t="e">
        <f t="shared" si="66"/>
        <v>#DIV/0!</v>
      </c>
      <c r="M48" s="119" t="e">
        <f t="shared" si="67"/>
        <v>#DIV/0!</v>
      </c>
      <c r="N48" s="119" t="s">
        <v>107</v>
      </c>
    </row>
    <row r="49" spans="1:14">
      <c r="A49" s="135" t="e">
        <f t="shared" si="8"/>
        <v>#REF!</v>
      </c>
      <c r="B49" s="21"/>
      <c r="C49" s="21"/>
      <c r="D49" s="129"/>
      <c r="E49" s="21"/>
      <c r="F49" s="21"/>
      <c r="G49" s="21"/>
      <c r="H49" s="21"/>
      <c r="I49" s="21"/>
      <c r="J49" s="21"/>
      <c r="K49" s="33">
        <f t="shared" si="6"/>
        <v>0</v>
      </c>
      <c r="L49" s="21"/>
      <c r="M49" s="21"/>
      <c r="N49" s="21"/>
    </row>
    <row r="50" spans="1:14">
      <c r="A50" s="135" t="e">
        <f t="shared" si="8"/>
        <v>#REF!</v>
      </c>
      <c r="B50" s="21"/>
      <c r="C50" s="21"/>
      <c r="D50" s="129"/>
      <c r="E50" s="21"/>
      <c r="F50" s="21"/>
      <c r="G50" s="21"/>
      <c r="H50" s="21"/>
      <c r="I50" s="21"/>
      <c r="J50" s="21"/>
      <c r="K50" s="33">
        <f t="shared" si="6"/>
        <v>0</v>
      </c>
      <c r="L50" s="21"/>
      <c r="M50" s="21"/>
      <c r="N50" s="21"/>
    </row>
    <row r="51" spans="1:14">
      <c r="A51" s="135" t="e">
        <f t="shared" si="8"/>
        <v>#REF!</v>
      </c>
      <c r="B51" s="21"/>
      <c r="C51" s="21"/>
      <c r="D51" s="129"/>
      <c r="E51" s="21"/>
      <c r="F51" s="21"/>
      <c r="G51" s="21"/>
      <c r="H51" s="21"/>
      <c r="I51" s="21"/>
      <c r="J51" s="21"/>
      <c r="K51" s="33">
        <f t="shared" si="6"/>
        <v>0</v>
      </c>
      <c r="L51" s="21"/>
      <c r="M51" s="21"/>
      <c r="N51" s="21"/>
    </row>
    <row r="52" spans="1:14">
      <c r="A52" s="135" t="e">
        <f t="shared" si="8"/>
        <v>#REF!</v>
      </c>
      <c r="B52" s="21"/>
      <c r="C52" s="21"/>
      <c r="D52" s="129"/>
      <c r="E52" s="21"/>
      <c r="F52" s="21"/>
      <c r="G52" s="21"/>
      <c r="H52" s="21"/>
      <c r="I52" s="21"/>
      <c r="J52" s="21"/>
      <c r="K52" s="33">
        <f t="shared" si="6"/>
        <v>0</v>
      </c>
      <c r="L52" s="21"/>
      <c r="M52" s="21"/>
      <c r="N52" s="21"/>
    </row>
    <row r="53" spans="1:14">
      <c r="A53" s="135" t="e">
        <f t="shared" si="8"/>
        <v>#REF!</v>
      </c>
      <c r="B53" s="21"/>
      <c r="C53" s="21"/>
      <c r="D53" s="129"/>
      <c r="E53" s="21"/>
      <c r="F53" s="21"/>
      <c r="G53" s="21"/>
      <c r="H53" s="21"/>
      <c r="I53" s="21"/>
      <c r="J53" s="21"/>
      <c r="K53" s="33">
        <f t="shared" si="6"/>
        <v>0</v>
      </c>
      <c r="L53" s="21"/>
      <c r="M53" s="21"/>
      <c r="N53" s="21"/>
    </row>
  </sheetData>
  <phoneticPr fontId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H16"/>
  <sheetViews>
    <sheetView workbookViewId="0">
      <selection activeCell="F13" sqref="F13"/>
    </sheetView>
  </sheetViews>
  <sheetFormatPr defaultRowHeight="13.5"/>
  <cols>
    <col min="1" max="1" width="14.375" customWidth="1"/>
    <col min="2" max="3" width="25.375" customWidth="1"/>
    <col min="4" max="4" width="19.375" customWidth="1"/>
    <col min="5" max="5" width="16.875" customWidth="1"/>
    <col min="7" max="8" width="9.375" bestFit="1" customWidth="1"/>
  </cols>
  <sheetData>
    <row r="2" spans="1:8">
      <c r="A2" s="95"/>
      <c r="B2" s="95"/>
      <c r="C2" s="96" t="s">
        <v>138</v>
      </c>
      <c r="D2" s="95" t="s">
        <v>139</v>
      </c>
      <c r="E2" s="95" t="s">
        <v>140</v>
      </c>
      <c r="F2" s="95"/>
    </row>
    <row r="3" spans="1:8" ht="15.75">
      <c r="A3" s="49" t="s">
        <v>105</v>
      </c>
      <c r="B3" s="50" t="s">
        <v>106</v>
      </c>
      <c r="C3" s="97" t="e">
        <f>VLOOKUP(A3,INVOICE!$B$33:$G$50,6,FALSE)</f>
        <v>#N/A</v>
      </c>
      <c r="D3" s="41">
        <v>40</v>
      </c>
      <c r="E3" s="93">
        <v>18</v>
      </c>
      <c r="F3" s="94">
        <v>6</v>
      </c>
      <c r="G3" s="98" t="e">
        <f>C3/D3/E3</f>
        <v>#N/A</v>
      </c>
      <c r="H3" s="98" t="e">
        <f>ROUNDUP(G3,0)</f>
        <v>#N/A</v>
      </c>
    </row>
    <row r="4" spans="1:8" ht="15.75">
      <c r="A4" s="49" t="s">
        <v>109</v>
      </c>
      <c r="B4" s="51" t="s">
        <v>110</v>
      </c>
      <c r="C4" s="97" t="e">
        <f>VLOOKUP(A4,INVOICE!$B$33:$G$50,6,FALSE)</f>
        <v>#N/A</v>
      </c>
      <c r="D4" s="41">
        <v>46</v>
      </c>
      <c r="E4" s="93">
        <v>18</v>
      </c>
      <c r="F4" s="94">
        <v>6</v>
      </c>
      <c r="G4" s="98" t="e">
        <f t="shared" ref="G4:G16" si="0">C4/D4/E4</f>
        <v>#N/A</v>
      </c>
      <c r="H4" s="98" t="e">
        <f t="shared" ref="H4:H16" si="1">ROUNDUP(G4,0)</f>
        <v>#N/A</v>
      </c>
    </row>
    <row r="5" spans="1:8" ht="15.75">
      <c r="A5" s="49" t="s">
        <v>112</v>
      </c>
      <c r="B5" s="51" t="s">
        <v>113</v>
      </c>
      <c r="C5" s="97" t="e">
        <f>VLOOKUP(A5,INVOICE!$B$33:$G$50,6,FALSE)</f>
        <v>#N/A</v>
      </c>
      <c r="D5" s="41">
        <v>68</v>
      </c>
      <c r="E5" s="93">
        <v>18</v>
      </c>
      <c r="F5" s="94">
        <v>6</v>
      </c>
      <c r="G5" s="98" t="e">
        <f t="shared" si="0"/>
        <v>#N/A</v>
      </c>
      <c r="H5" s="98" t="e">
        <f t="shared" si="1"/>
        <v>#N/A</v>
      </c>
    </row>
    <row r="6" spans="1:8" ht="15.75">
      <c r="A6" s="49" t="s">
        <v>115</v>
      </c>
      <c r="B6" s="51" t="s">
        <v>113</v>
      </c>
      <c r="C6" s="97" t="e">
        <f>VLOOKUP(A6,INVOICE!$B$33:$G$50,6,FALSE)</f>
        <v>#N/A</v>
      </c>
      <c r="D6" s="41">
        <v>34</v>
      </c>
      <c r="E6" s="93">
        <v>24</v>
      </c>
      <c r="F6" s="94">
        <v>8</v>
      </c>
      <c r="G6" s="98" t="e">
        <f t="shared" si="0"/>
        <v>#N/A</v>
      </c>
      <c r="H6" s="98" t="e">
        <f t="shared" si="1"/>
        <v>#N/A</v>
      </c>
    </row>
    <row r="7" spans="1:8" ht="15.75">
      <c r="A7" s="49" t="s">
        <v>141</v>
      </c>
      <c r="B7" s="50" t="s">
        <v>117</v>
      </c>
      <c r="C7" s="97" t="e">
        <f>VLOOKUP(A7,INVOICE!$B$33:$G$50,6,FALSE)</f>
        <v>#N/A</v>
      </c>
      <c r="D7" s="41">
        <v>51</v>
      </c>
      <c r="E7" s="93">
        <v>32</v>
      </c>
      <c r="F7" s="94">
        <v>8</v>
      </c>
      <c r="G7" s="98" t="e">
        <f t="shared" si="0"/>
        <v>#N/A</v>
      </c>
      <c r="H7" s="98" t="e">
        <f t="shared" si="1"/>
        <v>#N/A</v>
      </c>
    </row>
    <row r="8" spans="1:8" ht="15.75">
      <c r="A8" s="49" t="s">
        <v>118</v>
      </c>
      <c r="B8" s="50" t="s">
        <v>119</v>
      </c>
      <c r="C8" s="97" t="e">
        <f>VLOOKUP(A8,INVOICE!$B$33:$G$50,6,FALSE)</f>
        <v>#N/A</v>
      </c>
      <c r="D8" s="41">
        <v>26</v>
      </c>
      <c r="E8" s="93">
        <v>32</v>
      </c>
      <c r="F8" s="94">
        <v>8</v>
      </c>
      <c r="G8" s="98" t="e">
        <f t="shared" si="0"/>
        <v>#N/A</v>
      </c>
      <c r="H8" s="98" t="e">
        <f t="shared" si="1"/>
        <v>#N/A</v>
      </c>
    </row>
    <row r="9" spans="1:8" ht="15.75">
      <c r="A9" s="49" t="s">
        <v>121</v>
      </c>
      <c r="B9" s="50" t="s">
        <v>122</v>
      </c>
      <c r="C9" s="97" t="e">
        <f>VLOOKUP(A9,INVOICE!$B$33:$G$50,6,FALSE)</f>
        <v>#N/A</v>
      </c>
      <c r="D9" s="41">
        <v>26</v>
      </c>
      <c r="E9" s="93">
        <v>32</v>
      </c>
      <c r="F9" s="94">
        <v>8</v>
      </c>
      <c r="G9" s="98" t="e">
        <f t="shared" si="0"/>
        <v>#N/A</v>
      </c>
      <c r="H9" s="98" t="e">
        <f t="shared" si="1"/>
        <v>#N/A</v>
      </c>
    </row>
    <row r="10" spans="1:8" ht="15.75">
      <c r="A10" s="49" t="s">
        <v>142</v>
      </c>
      <c r="B10" s="50" t="s">
        <v>123</v>
      </c>
      <c r="C10" s="97" t="e">
        <f>VLOOKUP(A10,INVOICE!$B$33:$G$50,6,FALSE)</f>
        <v>#N/A</v>
      </c>
      <c r="D10" s="41">
        <v>60</v>
      </c>
      <c r="E10" s="93">
        <v>18</v>
      </c>
      <c r="F10" s="94">
        <v>6</v>
      </c>
      <c r="G10" s="98" t="e">
        <f t="shared" si="0"/>
        <v>#N/A</v>
      </c>
      <c r="H10" s="98" t="e">
        <f t="shared" si="1"/>
        <v>#N/A</v>
      </c>
    </row>
    <row r="11" spans="1:8" ht="15.75">
      <c r="A11" s="49" t="s">
        <v>143</v>
      </c>
      <c r="B11" s="50" t="s">
        <v>47</v>
      </c>
      <c r="C11" s="97" t="e">
        <f>VLOOKUP(A11,INVOICE!$B$33:$G$50,6,FALSE)</f>
        <v>#N/A</v>
      </c>
      <c r="D11" s="41">
        <v>60</v>
      </c>
      <c r="E11" s="93">
        <v>18</v>
      </c>
      <c r="F11" s="94">
        <v>6</v>
      </c>
      <c r="G11" s="98" t="e">
        <f t="shared" si="0"/>
        <v>#N/A</v>
      </c>
      <c r="H11" s="98" t="e">
        <f t="shared" si="1"/>
        <v>#N/A</v>
      </c>
    </row>
    <row r="12" spans="1:8" ht="15.75">
      <c r="A12" s="49" t="s">
        <v>144</v>
      </c>
      <c r="B12" s="52" t="s">
        <v>124</v>
      </c>
      <c r="C12" s="97" t="e">
        <f>VLOOKUP(A12,INVOICE!$B$33:$G$50,6,FALSE)</f>
        <v>#N/A</v>
      </c>
      <c r="D12" s="41">
        <v>70</v>
      </c>
      <c r="E12" s="93">
        <v>18</v>
      </c>
      <c r="F12" s="94">
        <v>6</v>
      </c>
      <c r="G12" s="98" t="e">
        <f t="shared" si="0"/>
        <v>#N/A</v>
      </c>
      <c r="H12" s="98" t="e">
        <f t="shared" si="1"/>
        <v>#N/A</v>
      </c>
    </row>
    <row r="13" spans="1:8" ht="15.75">
      <c r="A13" s="49" t="s">
        <v>145</v>
      </c>
      <c r="B13" s="52" t="s">
        <v>125</v>
      </c>
      <c r="C13" s="97" t="e">
        <f>VLOOKUP(A13,INVOICE!$B$33:$G$50,6,FALSE)</f>
        <v>#N/A</v>
      </c>
      <c r="D13" s="41">
        <v>42</v>
      </c>
      <c r="E13" s="93">
        <v>24</v>
      </c>
      <c r="F13" s="94">
        <v>8</v>
      </c>
      <c r="G13" s="98" t="e">
        <f t="shared" si="0"/>
        <v>#N/A</v>
      </c>
      <c r="H13" s="98" t="e">
        <f t="shared" si="1"/>
        <v>#N/A</v>
      </c>
    </row>
    <row r="14" spans="1:8" ht="15.75">
      <c r="A14" s="49" t="s">
        <v>146</v>
      </c>
      <c r="B14" s="52" t="s">
        <v>47</v>
      </c>
      <c r="C14" s="97" t="e">
        <f>VLOOKUP(A14,INVOICE!$B$33:$G$50,6,FALSE)</f>
        <v>#N/A</v>
      </c>
      <c r="D14" s="41">
        <v>42</v>
      </c>
      <c r="E14" s="93">
        <v>24</v>
      </c>
      <c r="F14" s="94">
        <v>8</v>
      </c>
      <c r="G14" s="98" t="e">
        <f t="shared" si="0"/>
        <v>#N/A</v>
      </c>
      <c r="H14" s="98" t="e">
        <f t="shared" si="1"/>
        <v>#N/A</v>
      </c>
    </row>
    <row r="15" spans="1:8" ht="15.75">
      <c r="A15" s="49" t="s">
        <v>147</v>
      </c>
      <c r="B15" s="52" t="s">
        <v>124</v>
      </c>
      <c r="C15" s="97" t="e">
        <f>VLOOKUP(A15,INVOICE!$B$33:$G$50,6,FALSE)</f>
        <v>#N/A</v>
      </c>
      <c r="D15" s="41">
        <v>40</v>
      </c>
      <c r="E15" s="93">
        <v>24</v>
      </c>
      <c r="F15" s="94">
        <v>8</v>
      </c>
      <c r="G15" s="98" t="e">
        <f t="shared" si="0"/>
        <v>#N/A</v>
      </c>
      <c r="H15" s="98" t="e">
        <f t="shared" si="1"/>
        <v>#N/A</v>
      </c>
    </row>
    <row r="16" spans="1:8" ht="15.75">
      <c r="A16" s="49" t="s">
        <v>126</v>
      </c>
      <c r="B16" s="52" t="s">
        <v>127</v>
      </c>
      <c r="C16" s="97" t="e">
        <f>VLOOKUP(A16,INVOICE!$B$33:$G$50,6,FALSE)</f>
        <v>#N/A</v>
      </c>
      <c r="D16" s="41">
        <v>170</v>
      </c>
      <c r="E16" s="93">
        <v>21</v>
      </c>
      <c r="F16" s="94">
        <v>7</v>
      </c>
      <c r="G16" s="98" t="e">
        <f t="shared" si="0"/>
        <v>#N/A</v>
      </c>
      <c r="H16" s="98" t="e">
        <f t="shared" si="1"/>
        <v>#N/A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4</vt:i4>
      </vt:variant>
    </vt:vector>
  </HeadingPairs>
  <TitlesOfParts>
    <vt:vector size="14" baseType="lpstr">
      <vt:lpstr>INVOICE</vt:lpstr>
      <vt:lpstr>PACKING LIST</vt:lpstr>
      <vt:lpstr>IV tổng</vt:lpstr>
      <vt:lpstr>PL tổng</vt:lpstr>
      <vt:lpstr>IV tong</vt:lpstr>
      <vt:lpstr>Dia chi</vt:lpstr>
      <vt:lpstr>Sheet1</vt:lpstr>
      <vt:lpstr>Sheet2</vt:lpstr>
      <vt:lpstr>データ</vt:lpstr>
      <vt:lpstr>quy cách palet</vt:lpstr>
      <vt:lpstr>INVOICE!Print_Area</vt:lpstr>
      <vt:lpstr>'IV tổng'!Print_Area</vt:lpstr>
      <vt:lpstr>'PACKING LIST'!Print_Area</vt:lpstr>
      <vt:lpstr>データ!Print_Area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</dc:creator>
  <cp:keywords/>
  <dc:description/>
  <cp:lastModifiedBy>元輝 浅井</cp:lastModifiedBy>
  <cp:revision/>
  <cp:lastPrinted>2025-11-24T01:22:15Z</cp:lastPrinted>
  <dcterms:created xsi:type="dcterms:W3CDTF">2016-05-31T08:23:05Z</dcterms:created>
  <dcterms:modified xsi:type="dcterms:W3CDTF">2025-12-25T20:59:12Z</dcterms:modified>
  <cp:category/>
  <cp:contentStatus/>
</cp:coreProperties>
</file>